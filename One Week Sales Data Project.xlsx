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Almasud\Data Analytics\Excel Projects\"/>
    </mc:Choice>
  </mc:AlternateContent>
  <xr:revisionPtr revIDLastSave="0" documentId="13_ncr:1_{99800F91-9B46-420C-809E-8164685AEA64}" xr6:coauthVersionLast="47" xr6:coauthVersionMax="47" xr10:uidLastSave="{00000000-0000-0000-0000-000000000000}"/>
  <bookViews>
    <workbookView xWindow="-108" yWindow="-108" windowWidth="23256" windowHeight="12456" xr2:uid="{2596F89A-219E-41FC-85A1-495B0A35AA06}"/>
  </bookViews>
  <sheets>
    <sheet name="Report" sheetId="5" r:id="rId1"/>
    <sheet name="Weekly Sales &amp; Order" sheetId="4" r:id="rId2"/>
    <sheet name="Consumer Types" sheetId="6" r:id="rId3"/>
    <sheet name="Sales Region &amp; City" sheetId="8" r:id="rId4"/>
    <sheet name="Category Sales" sheetId="9" r:id="rId5"/>
    <sheet name="Payment Methods" sheetId="10" r:id="rId6"/>
    <sheet name="Order Status" sheetId="11" r:id="rId7"/>
    <sheet name="Sales Data" sheetId="1" r:id="rId8"/>
  </sheets>
  <definedNames>
    <definedName name="_xlnm._FilterDatabase" localSheetId="7" hidden="1">'Sales Data'!$A$1:$Y$38</definedName>
    <definedName name="Slicer_Category">#N/A</definedName>
    <definedName name="Slicer_Channel">#N/A</definedName>
    <definedName name="Slicer_Order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<sst xmlns="http://schemas.openxmlformats.org/spreadsheetml/2006/main" count="679" uniqueCount="231">
  <si>
    <t>ORD1001</t>
  </si>
  <si>
    <t>CUST-001</t>
  </si>
  <si>
    <t>Rohan Sharma</t>
  </si>
  <si>
    <t>Consumer</t>
  </si>
  <si>
    <t>North</t>
  </si>
  <si>
    <t>Delhi</t>
  </si>
  <si>
    <t>Online</t>
  </si>
  <si>
    <t>P-1001</t>
  </si>
  <si>
    <t>Wireless Mouse</t>
  </si>
  <si>
    <t>Electronics</t>
  </si>
  <si>
    <t>UPI</t>
  </si>
  <si>
    <t>Completed</t>
  </si>
  <si>
    <t>N</t>
  </si>
  <si>
    <t>A.Khan</t>
  </si>
  <si>
    <t>ORD1002</t>
  </si>
  <si>
    <t>CUST-002</t>
  </si>
  <si>
    <t>Anita Verma</t>
  </si>
  <si>
    <t>Corporate</t>
  </si>
  <si>
    <t>West</t>
  </si>
  <si>
    <t>Mumbai</t>
  </si>
  <si>
    <t>Store</t>
  </si>
  <si>
    <t>P-2001</t>
  </si>
  <si>
    <t>Office Chair</t>
  </si>
  <si>
    <t>Furniture</t>
  </si>
  <si>
    <t>Credit Card</t>
  </si>
  <si>
    <t>P.Singh</t>
  </si>
  <si>
    <t>STR-07</t>
  </si>
  <si>
    <t>ORD1003</t>
  </si>
  <si>
    <t>CUST-003</t>
  </si>
  <si>
    <t>Imran Ali</t>
  </si>
  <si>
    <t>South</t>
  </si>
  <si>
    <t>Bengaluru</t>
  </si>
  <si>
    <t>P-3001</t>
  </si>
  <si>
    <t>Water Bottle</t>
  </si>
  <si>
    <t>Home &amp; Kitchen</t>
  </si>
  <si>
    <t>Debit Card</t>
  </si>
  <si>
    <t>ORD1004</t>
  </si>
  <si>
    <t>CUST-004</t>
  </si>
  <si>
    <t>Priya Nair</t>
  </si>
  <si>
    <t>East</t>
  </si>
  <si>
    <t>Kolkata</t>
  </si>
  <si>
    <t>Marketplace</t>
  </si>
  <si>
    <t>P-4001</t>
  </si>
  <si>
    <t>Running Shoes</t>
  </si>
  <si>
    <t>Sports</t>
  </si>
  <si>
    <t>S.Roy</t>
  </si>
  <si>
    <t>ORD1005</t>
  </si>
  <si>
    <t>CUST-005</t>
  </si>
  <si>
    <t>Karan Mehta</t>
  </si>
  <si>
    <t>Small Business</t>
  </si>
  <si>
    <t>Chandigarh</t>
  </si>
  <si>
    <t>P-5001</t>
  </si>
  <si>
    <t>Notebook Pack</t>
  </si>
  <si>
    <t>Stationery</t>
  </si>
  <si>
    <t>Cash</t>
  </si>
  <si>
    <t>R.Gupta</t>
  </si>
  <si>
    <t>STR-02</t>
  </si>
  <si>
    <t>ORD1006</t>
  </si>
  <si>
    <t>CUST-006</t>
  </si>
  <si>
    <t>Neha Gupta</t>
  </si>
  <si>
    <t>P-1002</t>
  </si>
  <si>
    <t>USB-C Cable</t>
  </si>
  <si>
    <t>ORD1007</t>
  </si>
  <si>
    <t>CUST-007</t>
  </si>
  <si>
    <t>Arjun Rao</t>
  </si>
  <si>
    <t>Hyderabad</t>
  </si>
  <si>
    <t>P-2002</t>
  </si>
  <si>
    <t>Standing Desk</t>
  </si>
  <si>
    <t>NEFT</t>
  </si>
  <si>
    <t>STR-11</t>
  </si>
  <si>
    <t>ORD1008</t>
  </si>
  <si>
    <t>CUST-008</t>
  </si>
  <si>
    <t>Meera Iyer</t>
  </si>
  <si>
    <t>Pune</t>
  </si>
  <si>
    <t>P-3002</t>
  </si>
  <si>
    <t>Coffee Mug</t>
  </si>
  <si>
    <t>ORD1009</t>
  </si>
  <si>
    <t>CUST-009</t>
  </si>
  <si>
    <t>Vikram Singh</t>
  </si>
  <si>
    <t>P-4002</t>
  </si>
  <si>
    <t>Yoga Mat</t>
  </si>
  <si>
    <t>Wallet</t>
  </si>
  <si>
    <t>Y</t>
  </si>
  <si>
    <t>Size issue</t>
  </si>
  <si>
    <t>ORD1010</t>
  </si>
  <si>
    <t>Guest Checkout</t>
  </si>
  <si>
    <t>Patna</t>
  </si>
  <si>
    <t>P-5002</t>
  </si>
  <si>
    <t>Pen Set</t>
  </si>
  <si>
    <t>ORD1011</t>
  </si>
  <si>
    <t>CUST-010</t>
  </si>
  <si>
    <t>Sneha Kapoor</t>
  </si>
  <si>
    <t>ORD1012</t>
  </si>
  <si>
    <t>CUST-011</t>
  </si>
  <si>
    <t>Rajesh Yadav</t>
  </si>
  <si>
    <t>Ahmedabad</t>
  </si>
  <si>
    <t>STR-05</t>
  </si>
  <si>
    <t>ORD1013</t>
  </si>
  <si>
    <t>CUST-012</t>
  </si>
  <si>
    <t>Farah Khan</t>
  </si>
  <si>
    <t>Chennai</t>
  </si>
  <si>
    <t>P-3003</t>
  </si>
  <si>
    <t>LED Desk Lamp</t>
  </si>
  <si>
    <t>ORD1014</t>
  </si>
  <si>
    <t>CUST-013</t>
  </si>
  <si>
    <t>Dev Malhotra</t>
  </si>
  <si>
    <t>Gurugram</t>
  </si>
  <si>
    <t>STR-03</t>
  </si>
  <si>
    <t>ORD1015</t>
  </si>
  <si>
    <t>CUST-014</t>
  </si>
  <si>
    <t>Kavya Reddy</t>
  </si>
  <si>
    <t>ORD1016</t>
  </si>
  <si>
    <t>CUST-015</t>
  </si>
  <si>
    <t>Nikhil Jain</t>
  </si>
  <si>
    <t>P-1003</t>
  </si>
  <si>
    <t>Power Bank</t>
  </si>
  <si>
    <t>ORD1017</t>
  </si>
  <si>
    <t>CUST-016</t>
  </si>
  <si>
    <t>Asha Thomas</t>
  </si>
  <si>
    <t>Kochi</t>
  </si>
  <si>
    <t>ORD1018</t>
  </si>
  <si>
    <t>CUST-017</t>
  </si>
  <si>
    <t>Harsh Bansal</t>
  </si>
  <si>
    <t>Jaipur</t>
  </si>
  <si>
    <t>STR-09</t>
  </si>
  <si>
    <t>ORD1019</t>
  </si>
  <si>
    <t>CUST-018</t>
  </si>
  <si>
    <t xml:space="preserve">  Pooja Sharma  </t>
  </si>
  <si>
    <t>ORD1020</t>
  </si>
  <si>
    <t>CUST-019</t>
  </si>
  <si>
    <t>Sameer Khan</t>
  </si>
  <si>
    <t>Noida</t>
  </si>
  <si>
    <t>STR-10</t>
  </si>
  <si>
    <t>ORD1021</t>
  </si>
  <si>
    <t>CUST-020</t>
  </si>
  <si>
    <t>Ritika Sen</t>
  </si>
  <si>
    <t>Guwahati</t>
  </si>
  <si>
    <t>ORD1022</t>
  </si>
  <si>
    <t>CUST-021</t>
  </si>
  <si>
    <t>Manish Agarwal</t>
  </si>
  <si>
    <t>Surat</t>
  </si>
  <si>
    <t>STR-06</t>
  </si>
  <si>
    <t>ORD1023</t>
  </si>
  <si>
    <t>CUST-022</t>
  </si>
  <si>
    <t>Leena Joseph</t>
  </si>
  <si>
    <t>ORD1024</t>
  </si>
  <si>
    <t>CUST-023</t>
  </si>
  <si>
    <t>Aditya Singh</t>
  </si>
  <si>
    <t>ORD1025</t>
  </si>
  <si>
    <t>CUST-024</t>
  </si>
  <si>
    <t>Naina Patel</t>
  </si>
  <si>
    <t>ORD1026</t>
  </si>
  <si>
    <t>CUST-025</t>
  </si>
  <si>
    <t>Yusuf Sheikh</t>
  </si>
  <si>
    <t>ORD1027</t>
  </si>
  <si>
    <t>CUST-026</t>
  </si>
  <si>
    <t>Sonia Das</t>
  </si>
  <si>
    <t>Bhubaneswar</t>
  </si>
  <si>
    <t>STR-12</t>
  </si>
  <si>
    <t>ORD1028</t>
  </si>
  <si>
    <t>CUST-027</t>
  </si>
  <si>
    <t>Rahul Tiwari</t>
  </si>
  <si>
    <t>Nagpur</t>
  </si>
  <si>
    <t>ORD1029</t>
  </si>
  <si>
    <t>CUST-028</t>
  </si>
  <si>
    <t>Anjali Bose</t>
  </si>
  <si>
    <t>ORD1030</t>
  </si>
  <si>
    <t>CUST-029</t>
  </si>
  <si>
    <t>Deepak Chawla</t>
  </si>
  <si>
    <t>Ludhiana</t>
  </si>
  <si>
    <t>STR-08</t>
  </si>
  <si>
    <t>ORD1031</t>
  </si>
  <si>
    <t>CUST-030</t>
  </si>
  <si>
    <t>Shreya Kulkarni</t>
  </si>
  <si>
    <t>ORD1032</t>
  </si>
  <si>
    <t>CUST-031</t>
  </si>
  <si>
    <t>Amit Bhatia</t>
  </si>
  <si>
    <t>ORD1033</t>
  </si>
  <si>
    <t>CUST-032</t>
  </si>
  <si>
    <t>Megha Sood</t>
  </si>
  <si>
    <t>ORD1034</t>
  </si>
  <si>
    <t>CUST-033</t>
  </si>
  <si>
    <t>Varun Joshi</t>
  </si>
  <si>
    <t>ORD1035</t>
  </si>
  <si>
    <t>CUST-034</t>
  </si>
  <si>
    <t>Isha Arora</t>
  </si>
  <si>
    <t>Cancelled</t>
  </si>
  <si>
    <t>ORD1036</t>
  </si>
  <si>
    <t>CUST-035</t>
  </si>
  <si>
    <t>Kunal Verma</t>
  </si>
  <si>
    <t>STR-01</t>
  </si>
  <si>
    <t>online</t>
  </si>
  <si>
    <t>GUEST-001</t>
  </si>
  <si>
    <t>Unknown</t>
  </si>
  <si>
    <t>Not Returned</t>
  </si>
  <si>
    <t>ChaNot Returnedged miNot Returnedd</t>
  </si>
  <si>
    <t>WroNot Returnedg size</t>
  </si>
  <si>
    <t>Quantity</t>
  </si>
  <si>
    <t>Unit Price</t>
  </si>
  <si>
    <t>Discount %</t>
  </si>
  <si>
    <t>Gross Sales</t>
  </si>
  <si>
    <t>Net Sales</t>
  </si>
  <si>
    <t>Cost per Unit</t>
  </si>
  <si>
    <t>Shipping Cost</t>
  </si>
  <si>
    <t>Order ID</t>
  </si>
  <si>
    <t>Order Date</t>
  </si>
  <si>
    <t>Order Time</t>
  </si>
  <si>
    <t>Customer ID</t>
  </si>
  <si>
    <t>Customer Name</t>
  </si>
  <si>
    <t>Customer Segment</t>
  </si>
  <si>
    <t>Region</t>
  </si>
  <si>
    <t>City</t>
  </si>
  <si>
    <t>Channel</t>
  </si>
  <si>
    <t>Product ID</t>
  </si>
  <si>
    <t>Product Name</t>
  </si>
  <si>
    <t>Category</t>
  </si>
  <si>
    <t>Payment Method</t>
  </si>
  <si>
    <t>Order status</t>
  </si>
  <si>
    <t>Return Flag</t>
  </si>
  <si>
    <t>Return Reason</t>
  </si>
  <si>
    <t>Sales Rep</t>
  </si>
  <si>
    <t>Store ID</t>
  </si>
  <si>
    <t>Sum of Net Sales</t>
  </si>
  <si>
    <t>Row Labels</t>
  </si>
  <si>
    <t>Count of Order ID2</t>
  </si>
  <si>
    <t>Column Labels</t>
  </si>
  <si>
    <t>Sum of Quantity</t>
  </si>
  <si>
    <t>Order Status</t>
  </si>
  <si>
    <t>Returned</t>
  </si>
  <si>
    <t>Not-Returned</t>
  </si>
  <si>
    <t>Weekly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</si>
</sst>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b/>
      <sz val="20"/>
      <color theme="0"/>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21" fontId="0" fillId="0" borderId="0" xfId="0" applyNumberFormat="1"/>
    <xf numFmtId="0" fontId="0" fillId="0" borderId="0" xfId="0" applyAlignment="1">
      <alignment horizontal="right" vertical="center" wrapText="1"/>
    </xf>
    <xf numFmtId="9" fontId="0" fillId="0" borderId="0" xfId="1" applyFont="1" applyAlignment="1">
      <alignment horizontal="right" vertical="center" wrapText="1"/>
    </xf>
    <xf numFmtId="0" fontId="0" fillId="0" borderId="0" xfId="0" pivotButton="1"/>
    <xf numFmtId="14" fontId="0" fillId="0" borderId="0" xfId="0" applyNumberFormat="1" applyAlignment="1">
      <alignment horizontal="left"/>
    </xf>
    <xf numFmtId="0" fontId="0" fillId="0" borderId="0" xfId="0" applyAlignment="1">
      <alignment horizontal="left"/>
    </xf>
    <xf numFmtId="0" fontId="2" fillId="0" borderId="0" xfId="0" applyFont="1"/>
    <xf numFmtId="0" fontId="2" fillId="0" borderId="0" xfId="0" applyFont="1" applyAlignment="1">
      <alignment horizontal="right" vertical="center" wrapText="1"/>
    </xf>
    <xf numFmtId="0" fontId="0" fillId="3" borderId="0" xfId="0" applyFill="1"/>
    <xf numFmtId="0" fontId="3"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Project.xlsx]Weekly Sales &amp; Order!PivotTable1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latin typeface="Aptos Narrow" panose="020B0004020202020204" pitchFamily="34" charset="0"/>
              </a:rPr>
              <a:t>Weekly Order &amp; Sales Data</a:t>
            </a:r>
          </a:p>
        </c:rich>
      </c:tx>
      <c:layout>
        <c:manualLayout>
          <c:xMode val="edge"/>
          <c:yMode val="edge"/>
          <c:x val="7.4086566160937187E-2"/>
          <c:y val="2.777777777777778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7459124266692"/>
          <c:y val="0.12686189443239335"/>
          <c:w val="0.83787725011710645"/>
          <c:h val="0.7892687356596696"/>
        </c:manualLayout>
      </c:layout>
      <c:barChart>
        <c:barDir val="col"/>
        <c:grouping val="clustered"/>
        <c:varyColors val="0"/>
        <c:ser>
          <c:idx val="0"/>
          <c:order val="0"/>
          <c:tx>
            <c:strRef>
              <c:f>'Weekly Sales &amp; Order'!$B$3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'Weekly Sales &amp; Order'!$A$4:$A$10</c:f>
              <c:strCache>
                <c:ptCount val="7"/>
                <c:pt idx="0">
                  <c:v>01-06-2026</c:v>
                </c:pt>
                <c:pt idx="1">
                  <c:v>02-06-2026</c:v>
                </c:pt>
                <c:pt idx="2">
                  <c:v>03-06-2026</c:v>
                </c:pt>
                <c:pt idx="3">
                  <c:v>04-06-2026</c:v>
                </c:pt>
                <c:pt idx="4">
                  <c:v>05-06-2026</c:v>
                </c:pt>
                <c:pt idx="5">
                  <c:v>06-06-2026</c:v>
                </c:pt>
                <c:pt idx="6">
                  <c:v>07-06-2026</c:v>
                </c:pt>
              </c:strCache>
            </c:strRef>
          </c:cat>
          <c:val>
            <c:numRef>
              <c:f>'Weekly Sales &amp; Order'!$B$4:$B$10</c:f>
              <c:numCache>
                <c:formatCode>General</c:formatCode>
                <c:ptCount val="7"/>
                <c:pt idx="0">
                  <c:v>13373.4</c:v>
                </c:pt>
                <c:pt idx="1">
                  <c:v>18503.079999999998</c:v>
                </c:pt>
                <c:pt idx="2">
                  <c:v>19418.52</c:v>
                </c:pt>
                <c:pt idx="3">
                  <c:v>23051.049999999996</c:v>
                </c:pt>
                <c:pt idx="4">
                  <c:v>14186.689999999999</c:v>
                </c:pt>
                <c:pt idx="5">
                  <c:v>16351.75</c:v>
                </c:pt>
                <c:pt idx="6">
                  <c:v>38189.08</c:v>
                </c:pt>
              </c:numCache>
            </c:numRef>
          </c:val>
          <c:extLst>
            <c:ext xmlns:c16="http://schemas.microsoft.com/office/drawing/2014/chart" uri="{C3380CC4-5D6E-409C-BE32-E72D297353CC}">
              <c16:uniqueId val="{00000000-2D14-47CE-A79B-0EFF7B1411F5}"/>
            </c:ext>
          </c:extLst>
        </c:ser>
        <c:dLbls>
          <c:showLegendKey val="0"/>
          <c:showVal val="0"/>
          <c:showCatName val="0"/>
          <c:showSerName val="0"/>
          <c:showPercent val="0"/>
          <c:showBubbleSize val="0"/>
        </c:dLbls>
        <c:gapWidth val="219"/>
        <c:overlap val="-27"/>
        <c:axId val="423328504"/>
        <c:axId val="423328864"/>
      </c:barChart>
      <c:lineChart>
        <c:grouping val="standard"/>
        <c:varyColors val="0"/>
        <c:ser>
          <c:idx val="1"/>
          <c:order val="1"/>
          <c:tx>
            <c:strRef>
              <c:f>'Weekly Sales &amp; Order'!$C$3</c:f>
              <c:strCache>
                <c:ptCount val="1"/>
                <c:pt idx="0">
                  <c:v>Count of Order ID2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'Weekly Sales &amp; Order'!$A$4:$A$10</c:f>
              <c:strCache>
                <c:ptCount val="7"/>
                <c:pt idx="0">
                  <c:v>01-06-2026</c:v>
                </c:pt>
                <c:pt idx="1">
                  <c:v>02-06-2026</c:v>
                </c:pt>
                <c:pt idx="2">
                  <c:v>03-06-2026</c:v>
                </c:pt>
                <c:pt idx="3">
                  <c:v>04-06-2026</c:v>
                </c:pt>
                <c:pt idx="4">
                  <c:v>05-06-2026</c:v>
                </c:pt>
                <c:pt idx="5">
                  <c:v>06-06-2026</c:v>
                </c:pt>
                <c:pt idx="6">
                  <c:v>07-06-2026</c:v>
                </c:pt>
              </c:strCache>
            </c:strRef>
          </c:cat>
          <c:val>
            <c:numRef>
              <c:f>'Weekly Sales &amp; Order'!$C$4:$C$10</c:f>
              <c:numCache>
                <c:formatCode>General</c:formatCode>
                <c:ptCount val="7"/>
                <c:pt idx="0">
                  <c:v>5</c:v>
                </c:pt>
                <c:pt idx="1">
                  <c:v>5</c:v>
                </c:pt>
                <c:pt idx="2">
                  <c:v>5</c:v>
                </c:pt>
                <c:pt idx="3">
                  <c:v>5</c:v>
                </c:pt>
                <c:pt idx="4">
                  <c:v>6</c:v>
                </c:pt>
                <c:pt idx="5">
                  <c:v>5</c:v>
                </c:pt>
                <c:pt idx="6">
                  <c:v>6</c:v>
                </c:pt>
              </c:numCache>
            </c:numRef>
          </c:val>
          <c:smooth val="0"/>
          <c:extLst>
            <c:ext xmlns:c16="http://schemas.microsoft.com/office/drawing/2014/chart" uri="{C3380CC4-5D6E-409C-BE32-E72D297353CC}">
              <c16:uniqueId val="{00000001-2D14-47CE-A79B-0EFF7B1411F5}"/>
            </c:ext>
          </c:extLst>
        </c:ser>
        <c:dLbls>
          <c:showLegendKey val="0"/>
          <c:showVal val="0"/>
          <c:showCatName val="0"/>
          <c:showSerName val="0"/>
          <c:showPercent val="0"/>
          <c:showBubbleSize val="0"/>
        </c:dLbls>
        <c:marker val="1"/>
        <c:smooth val="0"/>
        <c:axId val="424185936"/>
        <c:axId val="423909360"/>
      </c:lineChart>
      <c:catAx>
        <c:axId val="423328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28864"/>
        <c:crosses val="autoZero"/>
        <c:auto val="1"/>
        <c:lblAlgn val="ctr"/>
        <c:lblOffset val="100"/>
        <c:noMultiLvlLbl val="0"/>
      </c:catAx>
      <c:valAx>
        <c:axId val="42332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28504"/>
        <c:crosses val="autoZero"/>
        <c:crossBetween val="between"/>
      </c:valAx>
      <c:valAx>
        <c:axId val="4239093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85936"/>
        <c:crosses val="max"/>
        <c:crossBetween val="between"/>
      </c:valAx>
      <c:catAx>
        <c:axId val="424185936"/>
        <c:scaling>
          <c:orientation val="minMax"/>
        </c:scaling>
        <c:delete val="1"/>
        <c:axPos val="b"/>
        <c:numFmt formatCode="General" sourceLinked="1"/>
        <c:majorTickMark val="none"/>
        <c:minorTickMark val="none"/>
        <c:tickLblPos val="nextTo"/>
        <c:crossAx val="423909360"/>
        <c:crosses val="autoZero"/>
        <c:auto val="1"/>
        <c:lblAlgn val="ctr"/>
        <c:lblOffset val="100"/>
        <c:noMultiLvlLbl val="0"/>
      </c:catAx>
      <c:spPr>
        <a:noFill/>
        <a:ln>
          <a:noFill/>
        </a:ln>
        <a:effectLst/>
      </c:spPr>
    </c:plotArea>
    <c:legend>
      <c:legendPos val="r"/>
      <c:layout>
        <c:manualLayout>
          <c:xMode val="edge"/>
          <c:yMode val="edge"/>
          <c:x val="0.64859138318494503"/>
          <c:y val="1.9304929374068847E-2"/>
          <c:w val="0.32673542760279967"/>
          <c:h val="0.12247582424289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Project.xlsx]Consumer Types!PivotTable1</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u="none">
                <a:latin typeface="Aptos Narrow" panose="020B0004020202020204" pitchFamily="34" charset="0"/>
              </a:rPr>
              <a:t>Consumer Types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'Consumer Types'!$B$3:$B$4</c:f>
              <c:strCache>
                <c:ptCount val="1"/>
                <c:pt idx="0">
                  <c:v>Marketplace</c:v>
                </c:pt>
              </c:strCache>
            </c:strRef>
          </c:tx>
          <c:spPr>
            <a:solidFill>
              <a:schemeClr val="accent1"/>
            </a:solidFill>
            <a:ln>
              <a:noFill/>
            </a:ln>
            <a:effectLst/>
          </c:spPr>
          <c:invertIfNegative val="0"/>
          <c:cat>
            <c:strRef>
              <c:f>'Consumer Types'!$A$5:$A$7</c:f>
              <c:strCache>
                <c:ptCount val="3"/>
                <c:pt idx="0">
                  <c:v>Consumer</c:v>
                </c:pt>
                <c:pt idx="1">
                  <c:v>Corporate</c:v>
                </c:pt>
                <c:pt idx="2">
                  <c:v>Small Business</c:v>
                </c:pt>
              </c:strCache>
            </c:strRef>
          </c:cat>
          <c:val>
            <c:numRef>
              <c:f>'Consumer Types'!$B$5:$B$7</c:f>
              <c:numCache>
                <c:formatCode>General</c:formatCode>
                <c:ptCount val="3"/>
                <c:pt idx="0">
                  <c:v>16642.98</c:v>
                </c:pt>
              </c:numCache>
            </c:numRef>
          </c:val>
          <c:extLst>
            <c:ext xmlns:c16="http://schemas.microsoft.com/office/drawing/2014/chart" uri="{C3380CC4-5D6E-409C-BE32-E72D297353CC}">
              <c16:uniqueId val="{00000000-7F4E-4C90-BCAA-E10090DF5076}"/>
            </c:ext>
          </c:extLst>
        </c:ser>
        <c:ser>
          <c:idx val="1"/>
          <c:order val="1"/>
          <c:tx>
            <c:strRef>
              <c:f>'Consumer Types'!$C$3:$C$4</c:f>
              <c:strCache>
                <c:ptCount val="1"/>
                <c:pt idx="0">
                  <c:v>Online</c:v>
                </c:pt>
              </c:strCache>
            </c:strRef>
          </c:tx>
          <c:spPr>
            <a:solidFill>
              <a:schemeClr val="accent2"/>
            </a:solidFill>
            <a:ln>
              <a:noFill/>
            </a:ln>
            <a:effectLst/>
          </c:spPr>
          <c:invertIfNegative val="0"/>
          <c:cat>
            <c:strRef>
              <c:f>'Consumer Types'!$A$5:$A$7</c:f>
              <c:strCache>
                <c:ptCount val="3"/>
                <c:pt idx="0">
                  <c:v>Consumer</c:v>
                </c:pt>
                <c:pt idx="1">
                  <c:v>Corporate</c:v>
                </c:pt>
                <c:pt idx="2">
                  <c:v>Small Business</c:v>
                </c:pt>
              </c:strCache>
            </c:strRef>
          </c:cat>
          <c:val>
            <c:numRef>
              <c:f>'Consumer Types'!$C$5:$C$7</c:f>
              <c:numCache>
                <c:formatCode>General</c:formatCode>
                <c:ptCount val="3"/>
                <c:pt idx="0">
                  <c:v>28565.609999999997</c:v>
                </c:pt>
              </c:numCache>
            </c:numRef>
          </c:val>
          <c:extLst>
            <c:ext xmlns:c16="http://schemas.microsoft.com/office/drawing/2014/chart" uri="{C3380CC4-5D6E-409C-BE32-E72D297353CC}">
              <c16:uniqueId val="{00000003-6404-47C9-B046-604FD0EE2285}"/>
            </c:ext>
          </c:extLst>
        </c:ser>
        <c:ser>
          <c:idx val="2"/>
          <c:order val="2"/>
          <c:tx>
            <c:strRef>
              <c:f>'Consumer Types'!$D$3:$D$4</c:f>
              <c:strCache>
                <c:ptCount val="1"/>
                <c:pt idx="0">
                  <c:v>Store</c:v>
                </c:pt>
              </c:strCache>
            </c:strRef>
          </c:tx>
          <c:spPr>
            <a:solidFill>
              <a:schemeClr val="accent3"/>
            </a:solidFill>
            <a:ln>
              <a:noFill/>
            </a:ln>
            <a:effectLst/>
          </c:spPr>
          <c:invertIfNegative val="0"/>
          <c:cat>
            <c:strRef>
              <c:f>'Consumer Types'!$A$5:$A$7</c:f>
              <c:strCache>
                <c:ptCount val="3"/>
                <c:pt idx="0">
                  <c:v>Consumer</c:v>
                </c:pt>
                <c:pt idx="1">
                  <c:v>Corporate</c:v>
                </c:pt>
                <c:pt idx="2">
                  <c:v>Small Business</c:v>
                </c:pt>
              </c:strCache>
            </c:strRef>
          </c:cat>
          <c:val>
            <c:numRef>
              <c:f>'Consumer Types'!$D$5:$D$7</c:f>
              <c:numCache>
                <c:formatCode>General</c:formatCode>
                <c:ptCount val="3"/>
                <c:pt idx="1">
                  <c:v>83087.58</c:v>
                </c:pt>
                <c:pt idx="2">
                  <c:v>14777.4</c:v>
                </c:pt>
              </c:numCache>
            </c:numRef>
          </c:val>
          <c:extLst>
            <c:ext xmlns:c16="http://schemas.microsoft.com/office/drawing/2014/chart" uri="{C3380CC4-5D6E-409C-BE32-E72D297353CC}">
              <c16:uniqueId val="{00000004-6404-47C9-B046-604FD0EE2285}"/>
            </c:ext>
          </c:extLst>
        </c:ser>
        <c:dLbls>
          <c:showLegendKey val="0"/>
          <c:showVal val="0"/>
          <c:showCatName val="0"/>
          <c:showSerName val="0"/>
          <c:showPercent val="0"/>
          <c:showBubbleSize val="0"/>
        </c:dLbls>
        <c:gapWidth val="269"/>
        <c:axId val="529276736"/>
        <c:axId val="529277456"/>
      </c:barChart>
      <c:catAx>
        <c:axId val="529276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29277456"/>
        <c:crosses val="autoZero"/>
        <c:auto val="1"/>
        <c:lblAlgn val="ctr"/>
        <c:lblOffset val="100"/>
        <c:noMultiLvlLbl val="0"/>
      </c:catAx>
      <c:valAx>
        <c:axId val="5292774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76736"/>
        <c:crosses val="autoZero"/>
        <c:crossBetween val="between"/>
        <c:majorUnit val="25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Project.xlsx]Sales Region &amp; City!PivotTable3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latin typeface="Aptos Narrow" panose="020B0004020202020204" pitchFamily="34" charset="0"/>
              </a:rPr>
              <a:t>Region &amp; City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Region &amp; City'!$B$3:$B$4</c:f>
              <c:strCache>
                <c:ptCount val="1"/>
                <c:pt idx="0">
                  <c:v>East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City'!$B$5:$B$23</c:f>
              <c:numCache>
                <c:formatCode>General</c:formatCode>
                <c:ptCount val="19"/>
                <c:pt idx="2">
                  <c:v>6499</c:v>
                </c:pt>
                <c:pt idx="7">
                  <c:v>1794</c:v>
                </c:pt>
                <c:pt idx="11">
                  <c:v>6481.4500000000007</c:v>
                </c:pt>
                <c:pt idx="16">
                  <c:v>995</c:v>
                </c:pt>
              </c:numCache>
            </c:numRef>
          </c:val>
          <c:extLst>
            <c:ext xmlns:c16="http://schemas.microsoft.com/office/drawing/2014/chart" uri="{C3380CC4-5D6E-409C-BE32-E72D297353CC}">
              <c16:uniqueId val="{00000000-84EB-4DB8-A12A-2208B8ED9492}"/>
            </c:ext>
          </c:extLst>
        </c:ser>
        <c:ser>
          <c:idx val="1"/>
          <c:order val="1"/>
          <c:tx>
            <c:strRef>
              <c:f>'Sales Region &amp; City'!$C$3:$C$4</c:f>
              <c:strCache>
                <c:ptCount val="1"/>
                <c:pt idx="0">
                  <c:v>North</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City'!$C$5:$C$23</c:f>
              <c:numCache>
                <c:formatCode>General</c:formatCode>
                <c:ptCount val="19"/>
                <c:pt idx="3">
                  <c:v>1290</c:v>
                </c:pt>
                <c:pt idx="5">
                  <c:v>16239.080000000002</c:v>
                </c:pt>
                <c:pt idx="6">
                  <c:v>11698.2</c:v>
                </c:pt>
                <c:pt idx="9">
                  <c:v>2268.6</c:v>
                </c:pt>
                <c:pt idx="12">
                  <c:v>3582</c:v>
                </c:pt>
                <c:pt idx="15">
                  <c:v>43997.25</c:v>
                </c:pt>
              </c:numCache>
            </c:numRef>
          </c:val>
          <c:extLst>
            <c:ext xmlns:c16="http://schemas.microsoft.com/office/drawing/2014/chart" uri="{C3380CC4-5D6E-409C-BE32-E72D297353CC}">
              <c16:uniqueId val="{00000001-84EB-4DB8-A12A-2208B8ED9492}"/>
            </c:ext>
          </c:extLst>
        </c:ser>
        <c:ser>
          <c:idx val="2"/>
          <c:order val="2"/>
          <c:tx>
            <c:strRef>
              <c:f>'Sales Region &amp; City'!$D$3:$D$4</c:f>
              <c:strCache>
                <c:ptCount val="1"/>
                <c:pt idx="0">
                  <c:v>South</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City'!$D$5:$D$23</c:f>
              <c:numCache>
                <c:formatCode>General</c:formatCode>
                <c:ptCount val="19"/>
                <c:pt idx="1">
                  <c:v>4296.2</c:v>
                </c:pt>
                <c:pt idx="4">
                  <c:v>5438.32</c:v>
                </c:pt>
                <c:pt idx="8">
                  <c:v>14719.08</c:v>
                </c:pt>
                <c:pt idx="10">
                  <c:v>1396</c:v>
                </c:pt>
              </c:numCache>
            </c:numRef>
          </c:val>
          <c:extLst>
            <c:ext xmlns:c16="http://schemas.microsoft.com/office/drawing/2014/chart" uri="{C3380CC4-5D6E-409C-BE32-E72D297353CC}">
              <c16:uniqueId val="{00000002-84EB-4DB8-A12A-2208B8ED9492}"/>
            </c:ext>
          </c:extLst>
        </c:ser>
        <c:ser>
          <c:idx val="3"/>
          <c:order val="3"/>
          <c:tx>
            <c:strRef>
              <c:f>'Sales Region &amp; City'!$E$3:$E$4</c:f>
              <c:strCache>
                <c:ptCount val="1"/>
                <c:pt idx="0">
                  <c:v>West</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City'!$E$5:$E$23</c:f>
              <c:numCache>
                <c:formatCode>General</c:formatCode>
                <c:ptCount val="19"/>
                <c:pt idx="0">
                  <c:v>2451</c:v>
                </c:pt>
                <c:pt idx="13">
                  <c:v>8721.25</c:v>
                </c:pt>
                <c:pt idx="14">
                  <c:v>2694.6</c:v>
                </c:pt>
                <c:pt idx="17">
                  <c:v>6732.34</c:v>
                </c:pt>
                <c:pt idx="18">
                  <c:v>1780.2</c:v>
                </c:pt>
              </c:numCache>
            </c:numRef>
          </c:val>
          <c:extLst>
            <c:ext xmlns:c16="http://schemas.microsoft.com/office/drawing/2014/chart" uri="{C3380CC4-5D6E-409C-BE32-E72D297353CC}">
              <c16:uniqueId val="{00000001-3A4B-4344-83B8-87A879BC3957}"/>
            </c:ext>
          </c:extLst>
        </c:ser>
        <c:dLbls>
          <c:showLegendKey val="0"/>
          <c:showVal val="0"/>
          <c:showCatName val="0"/>
          <c:showSerName val="0"/>
          <c:showPercent val="0"/>
          <c:showBubbleSize val="0"/>
        </c:dLbls>
        <c:gapWidth val="65"/>
        <c:shape val="box"/>
        <c:axId val="547969640"/>
        <c:axId val="547962080"/>
        <c:axId val="0"/>
      </c:bar3DChart>
      <c:catAx>
        <c:axId val="547969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7962080"/>
        <c:crosses val="autoZero"/>
        <c:auto val="1"/>
        <c:lblAlgn val="ctr"/>
        <c:lblOffset val="100"/>
        <c:noMultiLvlLbl val="0"/>
      </c:catAx>
      <c:valAx>
        <c:axId val="54796208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79696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Project.xlsx]Category Sales!PivotTable4</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latin typeface="Aptos Narrow" panose="020B0004020202020204" pitchFamily="34" charset="0"/>
              </a:rPr>
              <a:t>Category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Sales'!$B$3</c:f>
              <c:strCache>
                <c:ptCount val="1"/>
                <c:pt idx="0">
                  <c:v>Sum of Quantity</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18E-4E4C-B73F-E47726364059}"/>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18E-4E4C-B73F-E47726364059}"/>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18E-4E4C-B73F-E47726364059}"/>
              </c:ext>
            </c:extLst>
          </c:dPt>
          <c:dPt>
            <c:idx val="3"/>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18E-4E4C-B73F-E47726364059}"/>
              </c:ext>
            </c:extLst>
          </c:dPt>
          <c:dPt>
            <c:idx val="4"/>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418E-4E4C-B73F-E477263640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Sales'!$A$4:$A$8</c:f>
              <c:strCache>
                <c:ptCount val="5"/>
                <c:pt idx="0">
                  <c:v>Electronics</c:v>
                </c:pt>
                <c:pt idx="1">
                  <c:v>Furniture</c:v>
                </c:pt>
                <c:pt idx="2">
                  <c:v>Home &amp; Kitchen</c:v>
                </c:pt>
                <c:pt idx="3">
                  <c:v>Sports</c:v>
                </c:pt>
                <c:pt idx="4">
                  <c:v>Stationery</c:v>
                </c:pt>
              </c:strCache>
            </c:strRef>
          </c:cat>
          <c:val>
            <c:numRef>
              <c:f>'Category Sales'!$B$4:$B$8</c:f>
              <c:numCache>
                <c:formatCode>General</c:formatCode>
                <c:ptCount val="5"/>
                <c:pt idx="0">
                  <c:v>22</c:v>
                </c:pt>
                <c:pt idx="1">
                  <c:v>8</c:v>
                </c:pt>
                <c:pt idx="2">
                  <c:v>19</c:v>
                </c:pt>
                <c:pt idx="3">
                  <c:v>8</c:v>
                </c:pt>
                <c:pt idx="4">
                  <c:v>112</c:v>
                </c:pt>
              </c:numCache>
            </c:numRef>
          </c:val>
          <c:extLst>
            <c:ext xmlns:c16="http://schemas.microsoft.com/office/drawing/2014/chart" uri="{C3380CC4-5D6E-409C-BE32-E72D297353CC}">
              <c16:uniqueId val="{0000000A-418E-4E4C-B73F-E47726364059}"/>
            </c:ext>
          </c:extLst>
        </c:ser>
        <c:ser>
          <c:idx val="1"/>
          <c:order val="1"/>
          <c:tx>
            <c:strRef>
              <c:f>'Category Sales'!$C$3</c:f>
              <c:strCache>
                <c:ptCount val="1"/>
                <c:pt idx="0">
                  <c:v>Sum of Net Sales</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418E-4E4C-B73F-E47726364059}"/>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E-418E-4E4C-B73F-E47726364059}"/>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418E-4E4C-B73F-E47726364059}"/>
              </c:ext>
            </c:extLst>
          </c:dPt>
          <c:dPt>
            <c:idx val="3"/>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2-418E-4E4C-B73F-E47726364059}"/>
              </c:ext>
            </c:extLst>
          </c:dPt>
          <c:dPt>
            <c:idx val="4"/>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4-418E-4E4C-B73F-E477263640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Sales'!$A$4:$A$8</c:f>
              <c:strCache>
                <c:ptCount val="5"/>
                <c:pt idx="0">
                  <c:v>Electronics</c:v>
                </c:pt>
                <c:pt idx="1">
                  <c:v>Furniture</c:v>
                </c:pt>
                <c:pt idx="2">
                  <c:v>Home &amp; Kitchen</c:v>
                </c:pt>
                <c:pt idx="3">
                  <c:v>Sports</c:v>
                </c:pt>
                <c:pt idx="4">
                  <c:v>Stationery</c:v>
                </c:pt>
              </c:strCache>
            </c:strRef>
          </c:cat>
          <c:val>
            <c:numRef>
              <c:f>'Category Sales'!$C$4:$C$8</c:f>
              <c:numCache>
                <c:formatCode>General</c:formatCode>
                <c:ptCount val="5"/>
                <c:pt idx="0">
                  <c:v>15881.59</c:v>
                </c:pt>
                <c:pt idx="1">
                  <c:v>83087.58</c:v>
                </c:pt>
                <c:pt idx="2">
                  <c:v>11689.019999999999</c:v>
                </c:pt>
                <c:pt idx="3">
                  <c:v>16642.98</c:v>
                </c:pt>
                <c:pt idx="4">
                  <c:v>15772.400000000001</c:v>
                </c:pt>
              </c:numCache>
            </c:numRef>
          </c:val>
          <c:extLst>
            <c:ext xmlns:c16="http://schemas.microsoft.com/office/drawing/2014/chart" uri="{C3380CC4-5D6E-409C-BE32-E72D297353CC}">
              <c16:uniqueId val="{00000015-418E-4E4C-B73F-E4772636405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Project.xlsx]Payment Methods!PivotTable5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latin typeface="Aptos Narrow" panose="020B0004020202020204" pitchFamily="34" charset="0"/>
              </a:rPr>
              <a:t>Payment methods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Methods'!$B$3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54-490E-B185-5961B030364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54-490E-B185-5961B030364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754-490E-B185-5961B030364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754-490E-B185-5961B030364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754-490E-B185-5961B030364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754-490E-B185-5961B03036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Methods'!$A$4:$A$9</c:f>
              <c:strCache>
                <c:ptCount val="6"/>
                <c:pt idx="0">
                  <c:v>Cash</c:v>
                </c:pt>
                <c:pt idx="1">
                  <c:v>Credit Card</c:v>
                </c:pt>
                <c:pt idx="2">
                  <c:v>Debit Card</c:v>
                </c:pt>
                <c:pt idx="3">
                  <c:v>NEFT</c:v>
                </c:pt>
                <c:pt idx="4">
                  <c:v>UPI</c:v>
                </c:pt>
                <c:pt idx="5">
                  <c:v>Wallet</c:v>
                </c:pt>
              </c:strCache>
            </c:strRef>
          </c:cat>
          <c:val>
            <c:numRef>
              <c:f>'Payment Methods'!$B$4:$B$9</c:f>
              <c:numCache>
                <c:formatCode>General</c:formatCode>
                <c:ptCount val="6"/>
                <c:pt idx="0">
                  <c:v>14777.4</c:v>
                </c:pt>
                <c:pt idx="1">
                  <c:v>23229.95</c:v>
                </c:pt>
                <c:pt idx="2">
                  <c:v>6599.7</c:v>
                </c:pt>
                <c:pt idx="3">
                  <c:v>76913.53</c:v>
                </c:pt>
                <c:pt idx="4">
                  <c:v>16876.59</c:v>
                </c:pt>
                <c:pt idx="5">
                  <c:v>4676.3999999999996</c:v>
                </c:pt>
              </c:numCache>
            </c:numRef>
          </c:val>
          <c:extLst>
            <c:ext xmlns:c16="http://schemas.microsoft.com/office/drawing/2014/chart" uri="{C3380CC4-5D6E-409C-BE32-E72D297353CC}">
              <c16:uniqueId val="{0000000C-2754-490E-B185-5961B030364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Project.xlsx]Order Status!PivotTable6</c:name>
    <c:fmtId val="3"/>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Aptos Narrow" panose="020B0004020202020204" pitchFamily="34" charset="0"/>
                <a:ea typeface="+mn-ea"/>
                <a:cs typeface="+mn-cs"/>
              </a:defRPr>
            </a:pPr>
            <a:r>
              <a:rPr lang="en-US" sz="1600">
                <a:latin typeface="Aptos Narrow" panose="020B0004020202020204" pitchFamily="34" charset="0"/>
              </a:rPr>
              <a:t>Order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Aptos Narrow"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'Order Status'!$B$3:$B$4</c:f>
              <c:strCache>
                <c:ptCount val="1"/>
                <c:pt idx="0">
                  <c:v>Not-Returned</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'Order Status'!$A$5:$A$6</c:f>
              <c:strCache>
                <c:ptCount val="2"/>
                <c:pt idx="0">
                  <c:v>Cancelled</c:v>
                </c:pt>
                <c:pt idx="1">
                  <c:v>Completed</c:v>
                </c:pt>
              </c:strCache>
            </c:strRef>
          </c:cat>
          <c:val>
            <c:numRef>
              <c:f>'Order Status'!$B$5:$B$6</c:f>
              <c:numCache>
                <c:formatCode>General</c:formatCode>
                <c:ptCount val="2"/>
                <c:pt idx="0">
                  <c:v>1</c:v>
                </c:pt>
                <c:pt idx="1">
                  <c:v>165</c:v>
                </c:pt>
              </c:numCache>
            </c:numRef>
          </c:val>
          <c:extLst>
            <c:ext xmlns:c16="http://schemas.microsoft.com/office/drawing/2014/chart" uri="{C3380CC4-5D6E-409C-BE32-E72D297353CC}">
              <c16:uniqueId val="{00000000-1109-4251-AB53-412A0E7E5314}"/>
            </c:ext>
          </c:extLst>
        </c:ser>
        <c:ser>
          <c:idx val="1"/>
          <c:order val="1"/>
          <c:tx>
            <c:strRef>
              <c:f>'Order Status'!$C$3:$C$4</c:f>
              <c:strCache>
                <c:ptCount val="1"/>
                <c:pt idx="0">
                  <c:v>Returned</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'Order Status'!$A$5:$A$6</c:f>
              <c:strCache>
                <c:ptCount val="2"/>
                <c:pt idx="0">
                  <c:v>Cancelled</c:v>
                </c:pt>
                <c:pt idx="1">
                  <c:v>Completed</c:v>
                </c:pt>
              </c:strCache>
            </c:strRef>
          </c:cat>
          <c:val>
            <c:numRef>
              <c:f>'Order Status'!$C$5:$C$6</c:f>
              <c:numCache>
                <c:formatCode>General</c:formatCode>
                <c:ptCount val="2"/>
                <c:pt idx="1">
                  <c:v>3</c:v>
                </c:pt>
              </c:numCache>
            </c:numRef>
          </c:val>
          <c:extLst>
            <c:ext xmlns:c16="http://schemas.microsoft.com/office/drawing/2014/chart" uri="{C3380CC4-5D6E-409C-BE32-E72D297353CC}">
              <c16:uniqueId val="{00000001-B75A-4868-8DA4-E43C9992135F}"/>
            </c:ext>
          </c:extLst>
        </c:ser>
        <c:dLbls>
          <c:showLegendKey val="0"/>
          <c:showVal val="0"/>
          <c:showCatName val="0"/>
          <c:showSerName val="0"/>
          <c:showPercent val="0"/>
          <c:showBubbleSize val="0"/>
        </c:dLbls>
        <c:gapWidth val="65"/>
        <c:shape val="box"/>
        <c:axId val="560131720"/>
        <c:axId val="560137120"/>
        <c:axId val="0"/>
      </c:bar3DChart>
      <c:catAx>
        <c:axId val="560131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0137120"/>
        <c:crosses val="autoZero"/>
        <c:auto val="1"/>
        <c:lblAlgn val="ctr"/>
        <c:lblOffset val="100"/>
        <c:noMultiLvlLbl val="0"/>
      </c:catAx>
      <c:valAx>
        <c:axId val="5601371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601317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Project.xlsx]Weekly Sales &amp; Order!PivotTable1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Order &amp; Sales Data</a:t>
            </a:r>
          </a:p>
        </c:rich>
      </c:tx>
      <c:layout>
        <c:manualLayout>
          <c:xMode val="edge"/>
          <c:yMode val="edge"/>
          <c:x val="7.4086566160937187E-2"/>
          <c:y val="2.7777777777777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7459124266692"/>
          <c:y val="0.12686189443239335"/>
          <c:w val="0.83787725011710645"/>
          <c:h val="0.7892687356596696"/>
        </c:manualLayout>
      </c:layout>
      <c:barChart>
        <c:barDir val="col"/>
        <c:grouping val="clustered"/>
        <c:varyColors val="0"/>
        <c:ser>
          <c:idx val="0"/>
          <c:order val="0"/>
          <c:tx>
            <c:strRef>
              <c:f>'Weekly Sales &amp; Order'!$B$3</c:f>
              <c:strCache>
                <c:ptCount val="1"/>
                <c:pt idx="0">
                  <c:v>Sum of Net Sales</c:v>
                </c:pt>
              </c:strCache>
            </c:strRef>
          </c:tx>
          <c:spPr>
            <a:solidFill>
              <a:schemeClr val="accent1"/>
            </a:solidFill>
            <a:ln>
              <a:noFill/>
            </a:ln>
            <a:effectLst/>
          </c:spPr>
          <c:invertIfNegative val="0"/>
          <c:cat>
            <c:strRef>
              <c:f>'Weekly Sales &amp; Order'!$A$4:$A$10</c:f>
              <c:strCache>
                <c:ptCount val="7"/>
                <c:pt idx="0">
                  <c:v>01-06-2026</c:v>
                </c:pt>
                <c:pt idx="1">
                  <c:v>02-06-2026</c:v>
                </c:pt>
                <c:pt idx="2">
                  <c:v>03-06-2026</c:v>
                </c:pt>
                <c:pt idx="3">
                  <c:v>04-06-2026</c:v>
                </c:pt>
                <c:pt idx="4">
                  <c:v>05-06-2026</c:v>
                </c:pt>
                <c:pt idx="5">
                  <c:v>06-06-2026</c:v>
                </c:pt>
                <c:pt idx="6">
                  <c:v>07-06-2026</c:v>
                </c:pt>
              </c:strCache>
            </c:strRef>
          </c:cat>
          <c:val>
            <c:numRef>
              <c:f>'Weekly Sales &amp; Order'!$B$4:$B$10</c:f>
              <c:numCache>
                <c:formatCode>General</c:formatCode>
                <c:ptCount val="7"/>
                <c:pt idx="0">
                  <c:v>13373.4</c:v>
                </c:pt>
                <c:pt idx="1">
                  <c:v>18503.079999999998</c:v>
                </c:pt>
                <c:pt idx="2">
                  <c:v>19418.52</c:v>
                </c:pt>
                <c:pt idx="3">
                  <c:v>23051.049999999996</c:v>
                </c:pt>
                <c:pt idx="4">
                  <c:v>14186.689999999999</c:v>
                </c:pt>
                <c:pt idx="5">
                  <c:v>16351.75</c:v>
                </c:pt>
                <c:pt idx="6">
                  <c:v>38189.08</c:v>
                </c:pt>
              </c:numCache>
            </c:numRef>
          </c:val>
          <c:extLst>
            <c:ext xmlns:c16="http://schemas.microsoft.com/office/drawing/2014/chart" uri="{C3380CC4-5D6E-409C-BE32-E72D297353CC}">
              <c16:uniqueId val="{00000000-2A9A-4115-9156-72F1C80F05BD}"/>
            </c:ext>
          </c:extLst>
        </c:ser>
        <c:dLbls>
          <c:showLegendKey val="0"/>
          <c:showVal val="0"/>
          <c:showCatName val="0"/>
          <c:showSerName val="0"/>
          <c:showPercent val="0"/>
          <c:showBubbleSize val="0"/>
        </c:dLbls>
        <c:gapWidth val="219"/>
        <c:overlap val="-27"/>
        <c:axId val="423328504"/>
        <c:axId val="423328864"/>
      </c:barChart>
      <c:lineChart>
        <c:grouping val="standard"/>
        <c:varyColors val="0"/>
        <c:ser>
          <c:idx val="1"/>
          <c:order val="1"/>
          <c:tx>
            <c:strRef>
              <c:f>'Weekly Sales &amp; Order'!$C$3</c:f>
              <c:strCache>
                <c:ptCount val="1"/>
                <c:pt idx="0">
                  <c:v>Count of Order ID2</c:v>
                </c:pt>
              </c:strCache>
            </c:strRef>
          </c:tx>
          <c:spPr>
            <a:ln w="28575" cap="rnd">
              <a:solidFill>
                <a:schemeClr val="accent2"/>
              </a:solidFill>
              <a:round/>
            </a:ln>
            <a:effectLst/>
          </c:spPr>
          <c:marker>
            <c:symbol val="none"/>
          </c:marker>
          <c:cat>
            <c:strRef>
              <c:f>'Weekly Sales &amp; Order'!$A$4:$A$10</c:f>
              <c:strCache>
                <c:ptCount val="7"/>
                <c:pt idx="0">
                  <c:v>01-06-2026</c:v>
                </c:pt>
                <c:pt idx="1">
                  <c:v>02-06-2026</c:v>
                </c:pt>
                <c:pt idx="2">
                  <c:v>03-06-2026</c:v>
                </c:pt>
                <c:pt idx="3">
                  <c:v>04-06-2026</c:v>
                </c:pt>
                <c:pt idx="4">
                  <c:v>05-06-2026</c:v>
                </c:pt>
                <c:pt idx="5">
                  <c:v>06-06-2026</c:v>
                </c:pt>
                <c:pt idx="6">
                  <c:v>07-06-2026</c:v>
                </c:pt>
              </c:strCache>
            </c:strRef>
          </c:cat>
          <c:val>
            <c:numRef>
              <c:f>'Weekly Sales &amp; Order'!$C$4:$C$10</c:f>
              <c:numCache>
                <c:formatCode>General</c:formatCode>
                <c:ptCount val="7"/>
                <c:pt idx="0">
                  <c:v>5</c:v>
                </c:pt>
                <c:pt idx="1">
                  <c:v>5</c:v>
                </c:pt>
                <c:pt idx="2">
                  <c:v>5</c:v>
                </c:pt>
                <c:pt idx="3">
                  <c:v>5</c:v>
                </c:pt>
                <c:pt idx="4">
                  <c:v>6</c:v>
                </c:pt>
                <c:pt idx="5">
                  <c:v>5</c:v>
                </c:pt>
                <c:pt idx="6">
                  <c:v>6</c:v>
                </c:pt>
              </c:numCache>
            </c:numRef>
          </c:val>
          <c:smooth val="0"/>
          <c:extLst>
            <c:ext xmlns:c16="http://schemas.microsoft.com/office/drawing/2014/chart" uri="{C3380CC4-5D6E-409C-BE32-E72D297353CC}">
              <c16:uniqueId val="{00000001-2A9A-4115-9156-72F1C80F05BD}"/>
            </c:ext>
          </c:extLst>
        </c:ser>
        <c:dLbls>
          <c:showLegendKey val="0"/>
          <c:showVal val="0"/>
          <c:showCatName val="0"/>
          <c:showSerName val="0"/>
          <c:showPercent val="0"/>
          <c:showBubbleSize val="0"/>
        </c:dLbls>
        <c:marker val="1"/>
        <c:smooth val="0"/>
        <c:axId val="424185936"/>
        <c:axId val="423909360"/>
      </c:lineChart>
      <c:catAx>
        <c:axId val="423328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28864"/>
        <c:crosses val="autoZero"/>
        <c:auto val="1"/>
        <c:lblAlgn val="ctr"/>
        <c:lblOffset val="100"/>
        <c:noMultiLvlLbl val="0"/>
      </c:catAx>
      <c:valAx>
        <c:axId val="42332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28504"/>
        <c:crosses val="autoZero"/>
        <c:crossBetween val="between"/>
      </c:valAx>
      <c:valAx>
        <c:axId val="4239093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185936"/>
        <c:crosses val="max"/>
        <c:crossBetween val="between"/>
      </c:valAx>
      <c:catAx>
        <c:axId val="424185936"/>
        <c:scaling>
          <c:orientation val="minMax"/>
        </c:scaling>
        <c:delete val="1"/>
        <c:axPos val="b"/>
        <c:numFmt formatCode="General" sourceLinked="1"/>
        <c:majorTickMark val="out"/>
        <c:minorTickMark val="none"/>
        <c:tickLblPos val="nextTo"/>
        <c:crossAx val="423909360"/>
        <c:crosses val="autoZero"/>
        <c:auto val="1"/>
        <c:lblAlgn val="ctr"/>
        <c:lblOffset val="100"/>
        <c:noMultiLvlLbl val="0"/>
      </c:catAx>
      <c:spPr>
        <a:noFill/>
        <a:ln>
          <a:noFill/>
        </a:ln>
        <a:effectLst/>
      </c:spPr>
    </c:plotArea>
    <c:legend>
      <c:legendPos val="r"/>
      <c:layout>
        <c:manualLayout>
          <c:xMode val="edge"/>
          <c:yMode val="edge"/>
          <c:x val="0.46238488707430092"/>
          <c:y val="1.9304826480023306E-2"/>
          <c:w val="0.52928177959236566"/>
          <c:h val="9.4790510188395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Project.xlsx]Consumer Types!PivotTable1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Consumer</a:t>
            </a:r>
            <a:r>
              <a:rPr lang="en-US" baseline="0"/>
              <a:t> </a:t>
            </a:r>
            <a:r>
              <a:rPr lang="en-US"/>
              <a:t>Types</a:t>
            </a:r>
          </a:p>
        </c:rich>
      </c:tx>
      <c:layout>
        <c:manualLayout>
          <c:xMode val="edge"/>
          <c:yMode val="edge"/>
          <c:x val="0.43904070498558689"/>
          <c:y val="4.37658447383480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'Consumer Types'!$B$3:$B$4</c:f>
              <c:strCache>
                <c:ptCount val="1"/>
                <c:pt idx="0">
                  <c:v>Marketplace</c:v>
                </c:pt>
              </c:strCache>
            </c:strRef>
          </c:tx>
          <c:spPr>
            <a:solidFill>
              <a:schemeClr val="accent1"/>
            </a:solidFill>
            <a:ln>
              <a:noFill/>
            </a:ln>
            <a:effectLst/>
          </c:spPr>
          <c:invertIfNegative val="0"/>
          <c:cat>
            <c:strRef>
              <c:f>'Consumer Types'!$A$5:$A$7</c:f>
              <c:strCache>
                <c:ptCount val="3"/>
                <c:pt idx="0">
                  <c:v>Consumer</c:v>
                </c:pt>
                <c:pt idx="1">
                  <c:v>Corporate</c:v>
                </c:pt>
                <c:pt idx="2">
                  <c:v>Small Business</c:v>
                </c:pt>
              </c:strCache>
            </c:strRef>
          </c:cat>
          <c:val>
            <c:numRef>
              <c:f>'Consumer Types'!$B$5:$B$7</c:f>
              <c:numCache>
                <c:formatCode>General</c:formatCode>
                <c:ptCount val="3"/>
                <c:pt idx="0">
                  <c:v>16642.98</c:v>
                </c:pt>
              </c:numCache>
            </c:numRef>
          </c:val>
          <c:extLst>
            <c:ext xmlns:c16="http://schemas.microsoft.com/office/drawing/2014/chart" uri="{C3380CC4-5D6E-409C-BE32-E72D297353CC}">
              <c16:uniqueId val="{00000000-B553-4AA2-A7DA-C50C97459A3B}"/>
            </c:ext>
          </c:extLst>
        </c:ser>
        <c:ser>
          <c:idx val="1"/>
          <c:order val="1"/>
          <c:tx>
            <c:strRef>
              <c:f>'Consumer Types'!$C$3:$C$4</c:f>
              <c:strCache>
                <c:ptCount val="1"/>
                <c:pt idx="0">
                  <c:v>Online</c:v>
                </c:pt>
              </c:strCache>
            </c:strRef>
          </c:tx>
          <c:spPr>
            <a:solidFill>
              <a:schemeClr val="accent2"/>
            </a:solidFill>
            <a:ln>
              <a:noFill/>
            </a:ln>
            <a:effectLst/>
          </c:spPr>
          <c:invertIfNegative val="0"/>
          <c:cat>
            <c:strRef>
              <c:f>'Consumer Types'!$A$5:$A$7</c:f>
              <c:strCache>
                <c:ptCount val="3"/>
                <c:pt idx="0">
                  <c:v>Consumer</c:v>
                </c:pt>
                <c:pt idx="1">
                  <c:v>Corporate</c:v>
                </c:pt>
                <c:pt idx="2">
                  <c:v>Small Business</c:v>
                </c:pt>
              </c:strCache>
            </c:strRef>
          </c:cat>
          <c:val>
            <c:numRef>
              <c:f>'Consumer Types'!$C$5:$C$7</c:f>
              <c:numCache>
                <c:formatCode>General</c:formatCode>
                <c:ptCount val="3"/>
                <c:pt idx="0">
                  <c:v>28565.609999999997</c:v>
                </c:pt>
              </c:numCache>
            </c:numRef>
          </c:val>
          <c:extLst>
            <c:ext xmlns:c16="http://schemas.microsoft.com/office/drawing/2014/chart" uri="{C3380CC4-5D6E-409C-BE32-E72D297353CC}">
              <c16:uniqueId val="{00000002-ED27-4518-BC04-59E475D28E0D}"/>
            </c:ext>
          </c:extLst>
        </c:ser>
        <c:ser>
          <c:idx val="2"/>
          <c:order val="2"/>
          <c:tx>
            <c:strRef>
              <c:f>'Consumer Types'!$D$3:$D$4</c:f>
              <c:strCache>
                <c:ptCount val="1"/>
                <c:pt idx="0">
                  <c:v>Store</c:v>
                </c:pt>
              </c:strCache>
            </c:strRef>
          </c:tx>
          <c:spPr>
            <a:solidFill>
              <a:schemeClr val="accent3"/>
            </a:solidFill>
            <a:ln>
              <a:noFill/>
            </a:ln>
            <a:effectLst/>
          </c:spPr>
          <c:invertIfNegative val="0"/>
          <c:cat>
            <c:strRef>
              <c:f>'Consumer Types'!$A$5:$A$7</c:f>
              <c:strCache>
                <c:ptCount val="3"/>
                <c:pt idx="0">
                  <c:v>Consumer</c:v>
                </c:pt>
                <c:pt idx="1">
                  <c:v>Corporate</c:v>
                </c:pt>
                <c:pt idx="2">
                  <c:v>Small Business</c:v>
                </c:pt>
              </c:strCache>
            </c:strRef>
          </c:cat>
          <c:val>
            <c:numRef>
              <c:f>'Consumer Types'!$D$5:$D$7</c:f>
              <c:numCache>
                <c:formatCode>General</c:formatCode>
                <c:ptCount val="3"/>
                <c:pt idx="1">
                  <c:v>83087.58</c:v>
                </c:pt>
                <c:pt idx="2">
                  <c:v>14777.4</c:v>
                </c:pt>
              </c:numCache>
            </c:numRef>
          </c:val>
          <c:extLst>
            <c:ext xmlns:c16="http://schemas.microsoft.com/office/drawing/2014/chart" uri="{C3380CC4-5D6E-409C-BE32-E72D297353CC}">
              <c16:uniqueId val="{00000003-ED27-4518-BC04-59E475D28E0D}"/>
            </c:ext>
          </c:extLst>
        </c:ser>
        <c:dLbls>
          <c:showLegendKey val="0"/>
          <c:showVal val="0"/>
          <c:showCatName val="0"/>
          <c:showSerName val="0"/>
          <c:showPercent val="0"/>
          <c:showBubbleSize val="0"/>
        </c:dLbls>
        <c:gapWidth val="182"/>
        <c:axId val="529276736"/>
        <c:axId val="529277456"/>
      </c:barChart>
      <c:catAx>
        <c:axId val="52927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77456"/>
        <c:crosses val="autoZero"/>
        <c:auto val="1"/>
        <c:lblAlgn val="ctr"/>
        <c:lblOffset val="100"/>
        <c:noMultiLvlLbl val="0"/>
      </c:catAx>
      <c:valAx>
        <c:axId val="52927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76736"/>
        <c:crosses val="autoZero"/>
        <c:crossBetween val="between"/>
        <c:majorUnit val="25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Project.xlsx]Sales Region &amp; City!PivotTable3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&amp;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Region &amp; City'!$B$3:$B$4</c:f>
              <c:strCache>
                <c:ptCount val="1"/>
                <c:pt idx="0">
                  <c:v>East</c:v>
                </c:pt>
              </c:strCache>
            </c:strRef>
          </c:tx>
          <c:spPr>
            <a:solidFill>
              <a:schemeClr val="accent1"/>
            </a:solidFill>
            <a:ln>
              <a:noFill/>
            </a:ln>
            <a:effectLst/>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City'!$B$5:$B$23</c:f>
              <c:numCache>
                <c:formatCode>General</c:formatCode>
                <c:ptCount val="19"/>
                <c:pt idx="2">
                  <c:v>6499</c:v>
                </c:pt>
                <c:pt idx="7">
                  <c:v>1794</c:v>
                </c:pt>
                <c:pt idx="11">
                  <c:v>6481.4500000000007</c:v>
                </c:pt>
                <c:pt idx="16">
                  <c:v>995</c:v>
                </c:pt>
              </c:numCache>
            </c:numRef>
          </c:val>
          <c:extLst>
            <c:ext xmlns:c16="http://schemas.microsoft.com/office/drawing/2014/chart" uri="{C3380CC4-5D6E-409C-BE32-E72D297353CC}">
              <c16:uniqueId val="{00000000-AC51-4644-A8BE-54AAEDD6B866}"/>
            </c:ext>
          </c:extLst>
        </c:ser>
        <c:ser>
          <c:idx val="1"/>
          <c:order val="1"/>
          <c:tx>
            <c:strRef>
              <c:f>'Sales Region &amp; City'!$C$3:$C$4</c:f>
              <c:strCache>
                <c:ptCount val="1"/>
                <c:pt idx="0">
                  <c:v>North</c:v>
                </c:pt>
              </c:strCache>
            </c:strRef>
          </c:tx>
          <c:spPr>
            <a:solidFill>
              <a:schemeClr val="accent2"/>
            </a:solidFill>
            <a:ln>
              <a:noFill/>
            </a:ln>
            <a:effectLst/>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City'!$C$5:$C$23</c:f>
              <c:numCache>
                <c:formatCode>General</c:formatCode>
                <c:ptCount val="19"/>
                <c:pt idx="3">
                  <c:v>1290</c:v>
                </c:pt>
                <c:pt idx="5">
                  <c:v>16239.080000000002</c:v>
                </c:pt>
                <c:pt idx="6">
                  <c:v>11698.2</c:v>
                </c:pt>
                <c:pt idx="9">
                  <c:v>2268.6</c:v>
                </c:pt>
                <c:pt idx="12">
                  <c:v>3582</c:v>
                </c:pt>
                <c:pt idx="15">
                  <c:v>43997.25</c:v>
                </c:pt>
              </c:numCache>
            </c:numRef>
          </c:val>
          <c:extLst>
            <c:ext xmlns:c16="http://schemas.microsoft.com/office/drawing/2014/chart" uri="{C3380CC4-5D6E-409C-BE32-E72D297353CC}">
              <c16:uniqueId val="{00000001-AC51-4644-A8BE-54AAEDD6B866}"/>
            </c:ext>
          </c:extLst>
        </c:ser>
        <c:ser>
          <c:idx val="2"/>
          <c:order val="2"/>
          <c:tx>
            <c:strRef>
              <c:f>'Sales Region &amp; City'!$D$3:$D$4</c:f>
              <c:strCache>
                <c:ptCount val="1"/>
                <c:pt idx="0">
                  <c:v>South</c:v>
                </c:pt>
              </c:strCache>
            </c:strRef>
          </c:tx>
          <c:spPr>
            <a:solidFill>
              <a:schemeClr val="accent3"/>
            </a:solidFill>
            <a:ln>
              <a:noFill/>
            </a:ln>
            <a:effectLst/>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City'!$D$5:$D$23</c:f>
              <c:numCache>
                <c:formatCode>General</c:formatCode>
                <c:ptCount val="19"/>
                <c:pt idx="1">
                  <c:v>4296.2</c:v>
                </c:pt>
                <c:pt idx="4">
                  <c:v>5438.32</c:v>
                </c:pt>
                <c:pt idx="8">
                  <c:v>14719.08</c:v>
                </c:pt>
                <c:pt idx="10">
                  <c:v>1396</c:v>
                </c:pt>
              </c:numCache>
            </c:numRef>
          </c:val>
          <c:extLst>
            <c:ext xmlns:c16="http://schemas.microsoft.com/office/drawing/2014/chart" uri="{C3380CC4-5D6E-409C-BE32-E72D297353CC}">
              <c16:uniqueId val="{00000002-AC51-4644-A8BE-54AAEDD6B866}"/>
            </c:ext>
          </c:extLst>
        </c:ser>
        <c:ser>
          <c:idx val="3"/>
          <c:order val="3"/>
          <c:tx>
            <c:strRef>
              <c:f>'Sales Region &amp; City'!$E$3:$E$4</c:f>
              <c:strCache>
                <c:ptCount val="1"/>
                <c:pt idx="0">
                  <c:v>West</c:v>
                </c:pt>
              </c:strCache>
            </c:strRef>
          </c:tx>
          <c:spPr>
            <a:solidFill>
              <a:schemeClr val="accent4"/>
            </a:solidFill>
            <a:ln>
              <a:noFill/>
            </a:ln>
            <a:effectLst/>
            <a:sp3d/>
          </c:spPr>
          <c:invertIfNegative val="0"/>
          <c:cat>
            <c:strRef>
              <c:f>'Sales Region &amp; City'!$A$5:$A$23</c:f>
              <c:strCache>
                <c:ptCount val="19"/>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Ludhiana</c:v>
                </c:pt>
                <c:pt idx="13">
                  <c:v>Mumbai</c:v>
                </c:pt>
                <c:pt idx="14">
                  <c:v>Nagpur</c:v>
                </c:pt>
                <c:pt idx="15">
                  <c:v>Noida</c:v>
                </c:pt>
                <c:pt idx="16">
                  <c:v>Patna</c:v>
                </c:pt>
                <c:pt idx="17">
                  <c:v>Pune</c:v>
                </c:pt>
                <c:pt idx="18">
                  <c:v>Surat</c:v>
                </c:pt>
              </c:strCache>
            </c:strRef>
          </c:cat>
          <c:val>
            <c:numRef>
              <c:f>'Sales Region &amp; City'!$E$5:$E$23</c:f>
              <c:numCache>
                <c:formatCode>General</c:formatCode>
                <c:ptCount val="19"/>
                <c:pt idx="0">
                  <c:v>2451</c:v>
                </c:pt>
                <c:pt idx="13">
                  <c:v>8721.25</c:v>
                </c:pt>
                <c:pt idx="14">
                  <c:v>2694.6</c:v>
                </c:pt>
                <c:pt idx="17">
                  <c:v>6732.34</c:v>
                </c:pt>
                <c:pt idx="18">
                  <c:v>1780.2</c:v>
                </c:pt>
              </c:numCache>
            </c:numRef>
          </c:val>
          <c:extLst>
            <c:ext xmlns:c16="http://schemas.microsoft.com/office/drawing/2014/chart" uri="{C3380CC4-5D6E-409C-BE32-E72D297353CC}">
              <c16:uniqueId val="{00000000-D9F4-42D1-822B-569A6F43F73D}"/>
            </c:ext>
          </c:extLst>
        </c:ser>
        <c:dLbls>
          <c:showLegendKey val="0"/>
          <c:showVal val="0"/>
          <c:showCatName val="0"/>
          <c:showSerName val="0"/>
          <c:showPercent val="0"/>
          <c:showBubbleSize val="0"/>
        </c:dLbls>
        <c:gapWidth val="150"/>
        <c:shape val="box"/>
        <c:axId val="547969640"/>
        <c:axId val="547962080"/>
        <c:axId val="0"/>
      </c:bar3DChart>
      <c:catAx>
        <c:axId val="547969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62080"/>
        <c:crosses val="autoZero"/>
        <c:auto val="1"/>
        <c:lblAlgn val="ctr"/>
        <c:lblOffset val="100"/>
        <c:noMultiLvlLbl val="0"/>
      </c:catAx>
      <c:valAx>
        <c:axId val="54796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69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Project.xlsx]Category Sales!PivotTable4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Sales'!$B$3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7E-4318-B242-74D779E97B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7E-4318-B242-74D779E97B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67E-4318-B242-74D779E97B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67E-4318-B242-74D779E97B7D}"/>
              </c:ext>
            </c:extLst>
          </c:dPt>
          <c:dPt>
            <c:idx val="4"/>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1EC-47DF-B7D1-9851CBB5766D}"/>
              </c:ext>
            </c:extLst>
          </c:dPt>
          <c:cat>
            <c:strRef>
              <c:f>'Category Sales'!$A$4:$A$8</c:f>
              <c:strCache>
                <c:ptCount val="5"/>
                <c:pt idx="0">
                  <c:v>Electronics</c:v>
                </c:pt>
                <c:pt idx="1">
                  <c:v>Furniture</c:v>
                </c:pt>
                <c:pt idx="2">
                  <c:v>Home &amp; Kitchen</c:v>
                </c:pt>
                <c:pt idx="3">
                  <c:v>Sports</c:v>
                </c:pt>
                <c:pt idx="4">
                  <c:v>Stationery</c:v>
                </c:pt>
              </c:strCache>
            </c:strRef>
          </c:cat>
          <c:val>
            <c:numRef>
              <c:f>'Category Sales'!$B$4:$B$8</c:f>
              <c:numCache>
                <c:formatCode>General</c:formatCode>
                <c:ptCount val="5"/>
                <c:pt idx="0">
                  <c:v>22</c:v>
                </c:pt>
                <c:pt idx="1">
                  <c:v>8</c:v>
                </c:pt>
                <c:pt idx="2">
                  <c:v>19</c:v>
                </c:pt>
                <c:pt idx="3">
                  <c:v>8</c:v>
                </c:pt>
                <c:pt idx="4">
                  <c:v>112</c:v>
                </c:pt>
              </c:numCache>
            </c:numRef>
          </c:val>
          <c:extLst>
            <c:ext xmlns:c16="http://schemas.microsoft.com/office/drawing/2014/chart" uri="{C3380CC4-5D6E-409C-BE32-E72D297353CC}">
              <c16:uniqueId val="{00000000-C1EC-47DF-B7D1-9851CBB5766D}"/>
            </c:ext>
          </c:extLst>
        </c:ser>
        <c:ser>
          <c:idx val="1"/>
          <c:order val="1"/>
          <c:tx>
            <c:strRef>
              <c:f>'Category Sales'!$C$3</c:f>
              <c:strCache>
                <c:ptCount val="1"/>
                <c:pt idx="0">
                  <c:v>Sum of Net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A67E-4318-B242-74D779E97B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A67E-4318-B242-74D779E97B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A67E-4318-B242-74D779E97B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A67E-4318-B242-74D779E97B7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A67E-4318-B242-74D779E97B7D}"/>
              </c:ext>
            </c:extLst>
          </c:dPt>
          <c:cat>
            <c:strRef>
              <c:f>'Category Sales'!$A$4:$A$8</c:f>
              <c:strCache>
                <c:ptCount val="5"/>
                <c:pt idx="0">
                  <c:v>Electronics</c:v>
                </c:pt>
                <c:pt idx="1">
                  <c:v>Furniture</c:v>
                </c:pt>
                <c:pt idx="2">
                  <c:v>Home &amp; Kitchen</c:v>
                </c:pt>
                <c:pt idx="3">
                  <c:v>Sports</c:v>
                </c:pt>
                <c:pt idx="4">
                  <c:v>Stationery</c:v>
                </c:pt>
              </c:strCache>
            </c:strRef>
          </c:cat>
          <c:val>
            <c:numRef>
              <c:f>'Category Sales'!$C$4:$C$8</c:f>
              <c:numCache>
                <c:formatCode>General</c:formatCode>
                <c:ptCount val="5"/>
                <c:pt idx="0">
                  <c:v>15881.59</c:v>
                </c:pt>
                <c:pt idx="1">
                  <c:v>83087.58</c:v>
                </c:pt>
                <c:pt idx="2">
                  <c:v>11689.019999999999</c:v>
                </c:pt>
                <c:pt idx="3">
                  <c:v>16642.98</c:v>
                </c:pt>
                <c:pt idx="4">
                  <c:v>15772.400000000001</c:v>
                </c:pt>
              </c:numCache>
            </c:numRef>
          </c:val>
          <c:extLst>
            <c:ext xmlns:c16="http://schemas.microsoft.com/office/drawing/2014/chart" uri="{C3380CC4-5D6E-409C-BE32-E72D297353CC}">
              <c16:uniqueId val="{00000001-C1EC-47DF-B7D1-9851CBB5766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Project.xlsx]Payment Methods!PivotTable5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r>
              <a:rPr lang="en-US"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'Payment Methods'!$B$3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43-4502-AA0C-CE5C2DC969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43-4502-AA0C-CE5C2DC969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43-4502-AA0C-CE5C2DC9697A}"/>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5968-4952-95DE-FCA0FE6BCD36}"/>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0D43-4502-AA0C-CE5C2DC969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43-4502-AA0C-CE5C2DC9697A}"/>
              </c:ext>
            </c:extLst>
          </c:dPt>
          <c:cat>
            <c:strRef>
              <c:f>'Payment Methods'!$A$4:$A$9</c:f>
              <c:strCache>
                <c:ptCount val="6"/>
                <c:pt idx="0">
                  <c:v>Cash</c:v>
                </c:pt>
                <c:pt idx="1">
                  <c:v>Credit Card</c:v>
                </c:pt>
                <c:pt idx="2">
                  <c:v>Debit Card</c:v>
                </c:pt>
                <c:pt idx="3">
                  <c:v>NEFT</c:v>
                </c:pt>
                <c:pt idx="4">
                  <c:v>UPI</c:v>
                </c:pt>
                <c:pt idx="5">
                  <c:v>Wallet</c:v>
                </c:pt>
              </c:strCache>
            </c:strRef>
          </c:cat>
          <c:val>
            <c:numRef>
              <c:f>'Payment Methods'!$B$4:$B$9</c:f>
              <c:numCache>
                <c:formatCode>General</c:formatCode>
                <c:ptCount val="6"/>
                <c:pt idx="0">
                  <c:v>14777.4</c:v>
                </c:pt>
                <c:pt idx="1">
                  <c:v>23229.95</c:v>
                </c:pt>
                <c:pt idx="2">
                  <c:v>6599.7</c:v>
                </c:pt>
                <c:pt idx="3">
                  <c:v>76913.53</c:v>
                </c:pt>
                <c:pt idx="4">
                  <c:v>16876.59</c:v>
                </c:pt>
                <c:pt idx="5">
                  <c:v>4676.3999999999996</c:v>
                </c:pt>
              </c:numCache>
            </c:numRef>
          </c:val>
          <c:extLst>
            <c:ext xmlns:c16="http://schemas.microsoft.com/office/drawing/2014/chart" uri="{C3380CC4-5D6E-409C-BE32-E72D297353CC}">
              <c16:uniqueId val="{00000000-5968-4952-95DE-FCA0FE6BCD3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Week Sales Data Project.xlsx]Order Status!PivotTable6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'Order Status'!$B$3:$B$4</c:f>
              <c:strCache>
                <c:ptCount val="1"/>
                <c:pt idx="0">
                  <c:v>Not-Returned</c:v>
                </c:pt>
              </c:strCache>
            </c:strRef>
          </c:tx>
          <c:spPr>
            <a:solidFill>
              <a:schemeClr val="accent1"/>
            </a:solidFill>
            <a:ln>
              <a:noFill/>
            </a:ln>
            <a:effectLst/>
            <a:sp3d/>
          </c:spPr>
          <c:invertIfNegative val="0"/>
          <c:cat>
            <c:strRef>
              <c:f>'Order Status'!$A$5:$A$6</c:f>
              <c:strCache>
                <c:ptCount val="2"/>
                <c:pt idx="0">
                  <c:v>Cancelled</c:v>
                </c:pt>
                <c:pt idx="1">
                  <c:v>Completed</c:v>
                </c:pt>
              </c:strCache>
            </c:strRef>
          </c:cat>
          <c:val>
            <c:numRef>
              <c:f>'Order Status'!$B$5:$B$6</c:f>
              <c:numCache>
                <c:formatCode>General</c:formatCode>
                <c:ptCount val="2"/>
                <c:pt idx="0">
                  <c:v>1</c:v>
                </c:pt>
                <c:pt idx="1">
                  <c:v>165</c:v>
                </c:pt>
              </c:numCache>
            </c:numRef>
          </c:val>
          <c:extLst>
            <c:ext xmlns:c16="http://schemas.microsoft.com/office/drawing/2014/chart" uri="{C3380CC4-5D6E-409C-BE32-E72D297353CC}">
              <c16:uniqueId val="{00000000-3EE0-47ED-8316-C28CA6A10E76}"/>
            </c:ext>
          </c:extLst>
        </c:ser>
        <c:ser>
          <c:idx val="1"/>
          <c:order val="1"/>
          <c:tx>
            <c:strRef>
              <c:f>'Order Status'!$C$3:$C$4</c:f>
              <c:strCache>
                <c:ptCount val="1"/>
                <c:pt idx="0">
                  <c:v>Returned</c:v>
                </c:pt>
              </c:strCache>
            </c:strRef>
          </c:tx>
          <c:spPr>
            <a:solidFill>
              <a:schemeClr val="accent2"/>
            </a:solidFill>
            <a:ln>
              <a:noFill/>
            </a:ln>
            <a:effectLst/>
            <a:sp3d/>
          </c:spPr>
          <c:invertIfNegative val="0"/>
          <c:cat>
            <c:strRef>
              <c:f>'Order Status'!$A$5:$A$6</c:f>
              <c:strCache>
                <c:ptCount val="2"/>
                <c:pt idx="0">
                  <c:v>Cancelled</c:v>
                </c:pt>
                <c:pt idx="1">
                  <c:v>Completed</c:v>
                </c:pt>
              </c:strCache>
            </c:strRef>
          </c:cat>
          <c:val>
            <c:numRef>
              <c:f>'Order Status'!$C$5:$C$6</c:f>
              <c:numCache>
                <c:formatCode>General</c:formatCode>
                <c:ptCount val="2"/>
                <c:pt idx="1">
                  <c:v>3</c:v>
                </c:pt>
              </c:numCache>
            </c:numRef>
          </c:val>
          <c:extLst>
            <c:ext xmlns:c16="http://schemas.microsoft.com/office/drawing/2014/chart" uri="{C3380CC4-5D6E-409C-BE32-E72D297353CC}">
              <c16:uniqueId val="{00000000-6791-47A8-9365-907A23C92E88}"/>
            </c:ext>
          </c:extLst>
        </c:ser>
        <c:dLbls>
          <c:showLegendKey val="0"/>
          <c:showVal val="0"/>
          <c:showCatName val="0"/>
          <c:showSerName val="0"/>
          <c:showPercent val="0"/>
          <c:showBubbleSize val="0"/>
        </c:dLbls>
        <c:gapWidth val="150"/>
        <c:shape val="box"/>
        <c:axId val="560131720"/>
        <c:axId val="560137120"/>
        <c:axId val="0"/>
      </c:bar3DChart>
      <c:catAx>
        <c:axId val="560131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137120"/>
        <c:crosses val="autoZero"/>
        <c:auto val="1"/>
        <c:lblAlgn val="ctr"/>
        <c:lblOffset val="100"/>
        <c:noMultiLvlLbl val="0"/>
      </c:catAx>
      <c:valAx>
        <c:axId val="56013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131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441960</xdr:colOff>
      <xdr:row>1</xdr:row>
      <xdr:rowOff>886</xdr:rowOff>
    </xdr:from>
    <xdr:to>
      <xdr:col>9</xdr:col>
      <xdr:colOff>93156</xdr:colOff>
      <xdr:row>14</xdr:row>
      <xdr:rowOff>7620</xdr:rowOff>
    </xdr:to>
    <xdr:graphicFrame macro="">
      <xdr:nvGraphicFramePr>
        <xdr:cNvPr id="2" name="Chart 1">
          <a:extLst>
            <a:ext uri="{FF2B5EF4-FFF2-40B4-BE49-F238E27FC236}">
              <a16:creationId xmlns:a16="http://schemas.microsoft.com/office/drawing/2014/main" id="{C3A707B3-80BA-412B-9F1F-48B8E1212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144780</xdr:colOff>
      <xdr:row>1</xdr:row>
      <xdr:rowOff>0</xdr:rowOff>
    </xdr:from>
    <xdr:to>
      <xdr:col>14</xdr:col>
      <xdr:colOff>434340</xdr:colOff>
      <xdr:row>14</xdr:row>
      <xdr:rowOff>7620</xdr:rowOff>
    </xdr:to>
    <xdr:graphicFrame macro="">
      <xdr:nvGraphicFramePr>
        <xdr:cNvPr id="3" name="Chart 2">
          <a:extLst>
            <a:ext uri="{FF2B5EF4-FFF2-40B4-BE49-F238E27FC236}">
              <a16:creationId xmlns:a16="http://schemas.microsoft.com/office/drawing/2014/main" id="{4D47AA57-CF66-4092-9CB9-78F2B0A39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434340</xdr:colOff>
      <xdr:row>14</xdr:row>
      <xdr:rowOff>83820</xdr:rowOff>
    </xdr:from>
    <xdr:to>
      <xdr:col>9</xdr:col>
      <xdr:colOff>99060</xdr:colOff>
      <xdr:row>27</xdr:row>
      <xdr:rowOff>7620</xdr:rowOff>
    </xdr:to>
    <xdr:graphicFrame macro="">
      <xdr:nvGraphicFramePr>
        <xdr:cNvPr id="4" name="Chart 3">
          <a:extLst>
            <a:ext uri="{FF2B5EF4-FFF2-40B4-BE49-F238E27FC236}">
              <a16:creationId xmlns:a16="http://schemas.microsoft.com/office/drawing/2014/main" id="{95ADB610-0884-40D9-91DB-E1F116742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14</xdr:row>
      <xdr:rowOff>83820</xdr:rowOff>
    </xdr:from>
    <xdr:to>
      <xdr:col>14</xdr:col>
      <xdr:colOff>243840</xdr:colOff>
      <xdr:row>27</xdr:row>
      <xdr:rowOff>0</xdr:rowOff>
    </xdr:to>
    <xdr:graphicFrame macro="">
      <xdr:nvGraphicFramePr>
        <xdr:cNvPr id="5" name="Chart 4">
          <a:extLst>
            <a:ext uri="{FF2B5EF4-FFF2-40B4-BE49-F238E27FC236}">
              <a16:creationId xmlns:a16="http://schemas.microsoft.com/office/drawing/2014/main" id="{A9EFC3F1-109C-4738-B9C3-46223131D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502920</xdr:colOff>
      <xdr:row>1</xdr:row>
      <xdr:rowOff>0</xdr:rowOff>
    </xdr:from>
    <xdr:to>
      <xdr:col>20</xdr:col>
      <xdr:colOff>0</xdr:colOff>
      <xdr:row>14</xdr:row>
      <xdr:rowOff>0</xdr:rowOff>
    </xdr:to>
    <xdr:graphicFrame macro="">
      <xdr:nvGraphicFramePr>
        <xdr:cNvPr id="6" name="Chart 5">
          <a:extLst>
            <a:ext uri="{FF2B5EF4-FFF2-40B4-BE49-F238E27FC236}">
              <a16:creationId xmlns:a16="http://schemas.microsoft.com/office/drawing/2014/main" id="{293DFD18-38EF-441A-8C36-FADC1D01D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297180</xdr:colOff>
      <xdr:row>14</xdr:row>
      <xdr:rowOff>76200</xdr:rowOff>
    </xdr:from>
    <xdr:to>
      <xdr:col>20</xdr:col>
      <xdr:colOff>0</xdr:colOff>
      <xdr:row>26</xdr:row>
      <xdr:rowOff>175260</xdr:rowOff>
    </xdr:to>
    <xdr:graphicFrame macro="">
      <xdr:nvGraphicFramePr>
        <xdr:cNvPr id="7" name="Chart 6">
          <a:extLst>
            <a:ext uri="{FF2B5EF4-FFF2-40B4-BE49-F238E27FC236}">
              <a16:creationId xmlns:a16="http://schemas.microsoft.com/office/drawing/2014/main" id="{4D6ACDE4-FA3A-4C9C-B31C-9C75DC6EC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320041</xdr:rowOff>
    </xdr:from>
    <xdr:to>
      <xdr:col>1</xdr:col>
      <xdr:colOff>396240</xdr:colOff>
      <xdr:row>11</xdr:row>
      <xdr:rowOff>91440</xdr:rowOff>
    </xdr:to>
    <mc:AlternateContent xmlns:mc="http://schemas.openxmlformats.org/markup-compatibility/2006" xmlns:a14="http://schemas.microsoft.com/office/drawing/2010/main">
      <mc:Choice Requires="a14">
        <xdr:graphicFrame macro="">
          <xdr:nvGraphicFramePr>
            <xdr:cNvPr id="8" name="Order Date">
              <a:extLst>
                <a:ext uri="{FF2B5EF4-FFF2-40B4-BE49-F238E27FC236}">
                  <a16:creationId xmlns:a16="http://schemas.microsoft.com/office/drawing/2014/main" id="{FD28940B-8F57-36E2-D599-36BD8341E8D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0" y="320041"/>
              <a:ext cx="1005840" cy="1927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12</xdr:row>
      <xdr:rowOff>7621</xdr:rowOff>
    </xdr:from>
    <xdr:to>
      <xdr:col>1</xdr:col>
      <xdr:colOff>403860</xdr:colOff>
      <xdr:row>18</xdr:row>
      <xdr:rowOff>60960</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B8D6AC50-A475-69DC-72EB-D5E13080429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620" y="2346961"/>
              <a:ext cx="100584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152401</xdr:rowOff>
    </xdr:from>
    <xdr:to>
      <xdr:col>1</xdr:col>
      <xdr:colOff>403860</xdr:colOff>
      <xdr:row>27</xdr:row>
      <xdr:rowOff>7620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CD3FC158-7B8A-A21D-9FCF-D61F390E27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589021"/>
              <a:ext cx="101346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0</xdr:row>
      <xdr:rowOff>175260</xdr:rowOff>
    </xdr:from>
    <xdr:to>
      <xdr:col>12</xdr:col>
      <xdr:colOff>495300</xdr:colOff>
      <xdr:row>18</xdr:row>
      <xdr:rowOff>175260</xdr:rowOff>
    </xdr:to>
    <xdr:graphicFrame macro="">
      <xdr:nvGraphicFramePr>
        <xdr:cNvPr id="2" name="Chart 1">
          <a:extLst>
            <a:ext uri="{FF2B5EF4-FFF2-40B4-BE49-F238E27FC236}">
              <a16:creationId xmlns:a16="http://schemas.microsoft.com/office/drawing/2014/main" id="{64871462-4DB6-5805-6B25-FB7C2F040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144780</xdr:colOff>
      <xdr:row>6</xdr:row>
      <xdr:rowOff>148590</xdr:rowOff>
    </xdr:from>
    <xdr:to>
      <xdr:col>20</xdr:col>
      <xdr:colOff>518160</xdr:colOff>
      <xdr:row>23</xdr:row>
      <xdr:rowOff>167640</xdr:rowOff>
    </xdr:to>
    <xdr:graphicFrame macro="">
      <xdr:nvGraphicFramePr>
        <xdr:cNvPr id="2" name="Chart 1">
          <a:extLst>
            <a:ext uri="{FF2B5EF4-FFF2-40B4-BE49-F238E27FC236}">
              <a16:creationId xmlns:a16="http://schemas.microsoft.com/office/drawing/2014/main" id="{6F409722-44FA-6D14-43A2-805630FCE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30480</xdr:colOff>
      <xdr:row>4</xdr:row>
      <xdr:rowOff>11430</xdr:rowOff>
    </xdr:from>
    <xdr:to>
      <xdr:col>14</xdr:col>
      <xdr:colOff>373380</xdr:colOff>
      <xdr:row>19</xdr:row>
      <xdr:rowOff>11430</xdr:rowOff>
    </xdr:to>
    <xdr:graphicFrame macro="">
      <xdr:nvGraphicFramePr>
        <xdr:cNvPr id="2" name="Chart 1">
          <a:extLst>
            <a:ext uri="{FF2B5EF4-FFF2-40B4-BE49-F238E27FC236}">
              <a16:creationId xmlns:a16="http://schemas.microsoft.com/office/drawing/2014/main" id="{12662497-B1E9-CEB8-B8FF-A371FEF31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91440</xdr:colOff>
      <xdr:row>6</xdr:row>
      <xdr:rowOff>148590</xdr:rowOff>
    </xdr:from>
    <xdr:to>
      <xdr:col>10</xdr:col>
      <xdr:colOff>396240</xdr:colOff>
      <xdr:row>21</xdr:row>
      <xdr:rowOff>148590</xdr:rowOff>
    </xdr:to>
    <xdr:graphicFrame macro="">
      <xdr:nvGraphicFramePr>
        <xdr:cNvPr id="2" name="Chart 1">
          <a:extLst>
            <a:ext uri="{FF2B5EF4-FFF2-40B4-BE49-F238E27FC236}">
              <a16:creationId xmlns:a16="http://schemas.microsoft.com/office/drawing/2014/main" id="{DA85309B-6CAE-9B54-4DBB-9C23B7E4A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xdr:colOff>
      <xdr:row>6</xdr:row>
      <xdr:rowOff>148590</xdr:rowOff>
    </xdr:from>
    <xdr:to>
      <xdr:col>11</xdr:col>
      <xdr:colOff>312420</xdr:colOff>
      <xdr:row>21</xdr:row>
      <xdr:rowOff>148590</xdr:rowOff>
    </xdr:to>
    <xdr:graphicFrame macro="">
      <xdr:nvGraphicFramePr>
        <xdr:cNvPr id="2" name="Chart 1">
          <a:extLst>
            <a:ext uri="{FF2B5EF4-FFF2-40B4-BE49-F238E27FC236}">
              <a16:creationId xmlns:a16="http://schemas.microsoft.com/office/drawing/2014/main" id="{21D48533-D74B-CD6B-A35E-3B104071A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640080</xdr:colOff>
      <xdr:row>6</xdr:row>
      <xdr:rowOff>148590</xdr:rowOff>
    </xdr:from>
    <xdr:to>
      <xdr:col>11</xdr:col>
      <xdr:colOff>205740</xdr:colOff>
      <xdr:row>21</xdr:row>
      <xdr:rowOff>148590</xdr:rowOff>
    </xdr:to>
    <xdr:graphicFrame macro="">
      <xdr:nvGraphicFramePr>
        <xdr:cNvPr id="2" name="Chart 1">
          <a:extLst>
            <a:ext uri="{FF2B5EF4-FFF2-40B4-BE49-F238E27FC236}">
              <a16:creationId xmlns:a16="http://schemas.microsoft.com/office/drawing/2014/main" id="{1A4D3B65-3F90-C4FF-013F-79B07FD88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4.920013425923" createdVersion="8" refreshedVersion="8" minRefreshableVersion="3" recordCount="37" xr:uid="{A553D914-DDAB-4B58-9809-AF274745EA52}">
  <cacheSource type="worksheet">
    <worksheetSource ref="A1:Y38" sheet="Sales Data"/>
  </cacheSource>
  <cacheFields count="25">
    <cacheField name="Order ID" numFmtId="0">
      <sharedItems/>
    </cacheField>
    <cacheField name="Order Date" numFmtId="14">
      <sharedItems containsSemiMixedTypes="0" containsNonDate="0" containsDate="1" containsString="0" minDate="2026-06-01T00:00:00" maxDate="2026-06-08T00:00:00" count="7">
        <d v="2026-06-01T00:00:00"/>
        <d v="2026-06-02T00:00:00"/>
        <d v="2026-06-03T00:00:00"/>
        <d v="2026-06-04T00:00:00"/>
        <d v="2026-06-05T00:00:00"/>
        <d v="2026-06-06T00:00:00"/>
        <d v="2026-06-07T00:00:00"/>
      </sharedItems>
    </cacheField>
    <cacheField name="Order Time" numFmtId="21">
      <sharedItems containsSemiMixedTypes="0" containsNonDate="0" containsDate="1" containsString="0" minDate="1899-12-30T08:51:22" maxDate="1899-12-30T17:08:54"/>
    </cacheField>
    <cacheField name="Customer ID" numFmtId="0">
      <sharedItems/>
    </cacheField>
    <cacheField name="Customer Name" numFmtId="0">
      <sharedItems/>
    </cacheField>
    <cacheField name="Customer Segment" numFmtId="0">
      <sharedItems count="3">
        <s v="Consumer"/>
        <s v="Corporate"/>
        <s v="Small Business"/>
      </sharedItems>
    </cacheField>
    <cacheField name="Region" numFmtId="0">
      <sharedItems count="4">
        <s v="North"/>
        <s v="South"/>
        <s v="West"/>
        <s v="East"/>
      </sharedItems>
    </cacheField>
    <cacheField name="City" numFmtId="0">
      <sharedItems count="19">
        <s v="Delhi"/>
        <s v="Bengaluru"/>
        <s v="Mumbai"/>
        <s v="Chandigarh"/>
        <s v="Kolkata"/>
        <s v="Patna"/>
        <s v="Hyderabad"/>
        <s v="Pune"/>
        <s v="Gurugram"/>
        <s v="Ahmedabad"/>
        <s v="Chennai"/>
        <s v="Noida"/>
        <s v="Jaipur"/>
        <s v="Kochi"/>
        <s v="Guwahati"/>
        <s v="Surat"/>
        <s v="Bhubaneswar"/>
        <s v="Ludhiana"/>
        <s v="Nagpur"/>
      </sharedItems>
    </cacheField>
    <cacheField name="Channel" numFmtId="0">
      <sharedItems count="3">
        <s v="Online"/>
        <s v="Store"/>
        <s v="Marketplace"/>
      </sharedItems>
    </cacheField>
    <cacheField name="Product ID" numFmtId="0">
      <sharedItems/>
    </cacheField>
    <cacheField name="Product Name" numFmtId="0">
      <sharedItems/>
    </cacheField>
    <cacheField name="Category" numFmtId="0">
      <sharedItems count="5">
        <s v="Electronics"/>
        <s v="Home &amp; Kitchen"/>
        <s v="Furniture"/>
        <s v="Stationery"/>
        <s v="Sports"/>
      </sharedItems>
    </cacheField>
    <cacheField name="Quantity" numFmtId="0">
      <sharedItems containsSemiMixedTypes="0" containsString="0" containsNumber="1" containsInteger="1" minValue="1" maxValue="30"/>
    </cacheField>
    <cacheField name="Unit Price" numFmtId="0">
      <sharedItems containsSemiMixedTypes="0" containsString="0" containsNumber="1" containsInteger="1" minValue="129" maxValue="15999"/>
    </cacheField>
    <cacheField name="Discount %" numFmtId="9">
      <sharedItems containsSemiMixedTypes="0" containsString="0" containsNumber="1" minValue="0" maxValue="0.2"/>
    </cacheField>
    <cacheField name="Gross Sales" numFmtId="0">
      <sharedItems containsSemiMixedTypes="0" containsString="0" containsNumber="1" containsInteger="1" minValue="349" maxValue="31998"/>
    </cacheField>
    <cacheField name="Net Sales" numFmtId="0">
      <sharedItems containsSemiMixedTypes="0" containsString="0" containsNumber="1" minValue="349" maxValue="28798.2"/>
    </cacheField>
    <cacheField name="Cost per Unit" numFmtId="0">
      <sharedItems containsSemiMixedTypes="0" containsString="0" containsNumber="1" containsInteger="1" minValue="70" maxValue="10500"/>
    </cacheField>
    <cacheField name="Shipping Cost" numFmtId="0">
      <sharedItems containsSemiMixedTypes="0" containsString="0" containsNumber="1" minValue="0" maxValue="120"/>
    </cacheField>
    <cacheField name="Payment Method" numFmtId="0">
      <sharedItems count="6">
        <s v="UPI"/>
        <s v="Debit Card"/>
        <s v="Credit Card"/>
        <s v="Cash"/>
        <s v="NEFT"/>
        <s v="Wallet"/>
      </sharedItems>
    </cacheField>
    <cacheField name="Order status" numFmtId="0">
      <sharedItems count="2">
        <s v="Completed"/>
        <s v="Cancelled"/>
      </sharedItems>
    </cacheField>
    <cacheField name="Return Flag" numFmtId="0">
      <sharedItems count="2">
        <s v="N"/>
        <s v="Y"/>
      </sharedItems>
    </cacheField>
    <cacheField name="Return Reason" numFmtId="0">
      <sharedItems/>
    </cacheField>
    <cacheField name="Sales Rep" numFmtId="0">
      <sharedItems/>
    </cacheField>
    <cacheField name="Store ID" numFmtId="0">
      <sharedItems/>
    </cacheField>
  </cacheFields>
  <extLst>
    <ext xmlns:x14="http://schemas.microsoft.com/office/spreadsheetml/2009/9/main" uri="{725AE2AE-9491-48be-B2B4-4EB974FC3084}">
      <x14:pivotCacheDefinition pivotCacheId="1844964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s v="ORD1001"/>
    <x v="0"/>
    <d v="1899-12-30T09:12:11"/>
    <s v="CUST-001"/>
    <s v="Rohan Sharma"/>
    <x v="0"/>
    <x v="0"/>
    <x v="0"/>
    <x v="0"/>
    <s v="P-1001"/>
    <s v="Wireless Mouse"/>
    <x v="0"/>
    <n v="2"/>
    <n v="799"/>
    <n v="0.1"/>
    <n v="1598"/>
    <n v="1438.2"/>
    <n v="520"/>
    <n v="60"/>
    <x v="0"/>
    <x v="0"/>
    <x v="0"/>
    <s v="Not Returned"/>
    <s v="A.Khan"/>
    <s v="Unknown"/>
  </r>
  <r>
    <s v="ORD1003"/>
    <x v="0"/>
    <d v="1899-12-30T11:27:09"/>
    <s v="CUST-003"/>
    <s v="Imran Ali"/>
    <x v="0"/>
    <x v="1"/>
    <x v="1"/>
    <x v="0"/>
    <s v="P-3001"/>
    <s v="Water Bottle"/>
    <x v="1"/>
    <n v="3"/>
    <n v="499"/>
    <n v="0"/>
    <n v="1497"/>
    <n v="1497"/>
    <n v="180"/>
    <n v="75"/>
    <x v="1"/>
    <x v="0"/>
    <x v="0"/>
    <s v="Not Returned"/>
    <s v="A.Khan"/>
    <s v="Unknown"/>
  </r>
  <r>
    <s v="ORD1002"/>
    <x v="0"/>
    <d v="1899-12-30T10:03:45"/>
    <s v="CUST-002"/>
    <s v="Anita Verma"/>
    <x v="1"/>
    <x v="2"/>
    <x v="2"/>
    <x v="1"/>
    <s v="P-2001"/>
    <s v="Office Chair"/>
    <x v="2"/>
    <n v="1"/>
    <n v="6499"/>
    <n v="0.05"/>
    <n v="6499"/>
    <n v="6174.05"/>
    <n v="4200"/>
    <n v="0"/>
    <x v="2"/>
    <x v="0"/>
    <x v="0"/>
    <s v="Not Returned"/>
    <s v="P.Singh"/>
    <s v="STR-07"/>
  </r>
  <r>
    <s v="ORD1005"/>
    <x v="0"/>
    <d v="1899-12-30T14:18:22"/>
    <s v="CUST-005"/>
    <s v="Karan Mehta"/>
    <x v="2"/>
    <x v="0"/>
    <x v="3"/>
    <x v="1"/>
    <s v="P-5001"/>
    <s v="Notebook Pack"/>
    <x v="3"/>
    <n v="10"/>
    <n v="129"/>
    <n v="0"/>
    <n v="1290"/>
    <n v="1290"/>
    <n v="70"/>
    <n v="0"/>
    <x v="3"/>
    <x v="0"/>
    <x v="0"/>
    <s v="Not Returned"/>
    <s v="R.Gupta"/>
    <s v="STR-02"/>
  </r>
  <r>
    <s v="ORD1004"/>
    <x v="0"/>
    <d v="1899-12-30T12:44:51"/>
    <s v="CUST-004"/>
    <s v="Priya Nair"/>
    <x v="0"/>
    <x v="3"/>
    <x v="4"/>
    <x v="2"/>
    <s v="P-4001"/>
    <s v="Running Shoes"/>
    <x v="4"/>
    <n v="1"/>
    <n v="3499"/>
    <n v="0.15"/>
    <n v="3499"/>
    <n v="2974.15"/>
    <n v="2200"/>
    <n v="120"/>
    <x v="2"/>
    <x v="0"/>
    <x v="0"/>
    <s v="Not Returned"/>
    <s v="S.Roy"/>
    <s v="Unknown"/>
  </r>
  <r>
    <s v="ORD1006"/>
    <x v="1"/>
    <d v="1899-12-30T09:05:14"/>
    <s v="CUST-006"/>
    <s v="Neha Gupta"/>
    <x v="0"/>
    <x v="0"/>
    <x v="0"/>
    <x v="0"/>
    <s v="P-1002"/>
    <s v="USB-C Cable"/>
    <x v="0"/>
    <n v="4"/>
    <n v="299"/>
    <n v="0.2"/>
    <n v="1196"/>
    <n v="956.8"/>
    <n v="120"/>
    <n v="50"/>
    <x v="0"/>
    <x v="0"/>
    <x v="0"/>
    <s v="Not Returned"/>
    <s v="A.Khan"/>
    <s v="Unknown"/>
  </r>
  <r>
    <s v="ORD1010"/>
    <x v="1"/>
    <d v="1899-12-30T16:40:27"/>
    <s v="GUEST-001"/>
    <s v="Guest Checkout"/>
    <x v="0"/>
    <x v="3"/>
    <x v="5"/>
    <x v="0"/>
    <s v="P-5002"/>
    <s v="Pen Set"/>
    <x v="3"/>
    <n v="5"/>
    <n v="199"/>
    <n v="0"/>
    <n v="995"/>
    <n v="995"/>
    <n v="80"/>
    <n v="55"/>
    <x v="0"/>
    <x v="0"/>
    <x v="0"/>
    <s v="Not Returned"/>
    <s v="A.Khan"/>
    <s v="Unknown"/>
  </r>
  <r>
    <s v="ORD1007"/>
    <x v="1"/>
    <d v="1899-12-30T10:56:31"/>
    <s v="CUST-007"/>
    <s v="Arjun Rao"/>
    <x v="1"/>
    <x v="1"/>
    <x v="6"/>
    <x v="1"/>
    <s v="P-2002"/>
    <s v="Standing Desk"/>
    <x v="2"/>
    <n v="1"/>
    <n v="15999"/>
    <n v="0.08"/>
    <n v="15999"/>
    <n v="14719.08"/>
    <n v="10500"/>
    <n v="0"/>
    <x v="4"/>
    <x v="0"/>
    <x v="0"/>
    <s v="Not Returned"/>
    <s v="P.Singh"/>
    <s v="STR-11"/>
  </r>
  <r>
    <s v="ORD1009"/>
    <x v="1"/>
    <d v="1899-12-30T15:11:03"/>
    <s v="CUST-009"/>
    <s v="Vikram Singh"/>
    <x v="0"/>
    <x v="0"/>
    <x v="0"/>
    <x v="2"/>
    <s v="P-4002"/>
    <s v="Yoga Mat"/>
    <x v="4"/>
    <n v="1"/>
    <n v="1299"/>
    <n v="0.1"/>
    <n v="1299"/>
    <n v="1169.0999999999999"/>
    <n v="650"/>
    <n v="90"/>
    <x v="5"/>
    <x v="0"/>
    <x v="1"/>
    <s v="Size issue"/>
    <s v="R.Gupta"/>
    <s v="Unknown"/>
  </r>
  <r>
    <s v="ORD1008"/>
    <x v="1"/>
    <d v="1899-12-30T12:20:48"/>
    <s v="CUST-008"/>
    <s v="Meera Iyer"/>
    <x v="0"/>
    <x v="2"/>
    <x v="7"/>
    <x v="0"/>
    <s v="P-3002"/>
    <s v="Coffee Mug"/>
    <x v="1"/>
    <n v="2"/>
    <n v="349"/>
    <n v="0.05"/>
    <n v="698"/>
    <n v="663.1"/>
    <n v="140"/>
    <n v="65"/>
    <x v="1"/>
    <x v="0"/>
    <x v="0"/>
    <s v="Not Returned"/>
    <s v="S.Roy"/>
    <s v="Unknown"/>
  </r>
  <r>
    <s v="ORD1011"/>
    <x v="2"/>
    <d v="1899-12-30T08:58:42"/>
    <s v="CUST-010"/>
    <s v="Sneha Kapoor"/>
    <x v="0"/>
    <x v="0"/>
    <x v="0"/>
    <x v="0"/>
    <s v="P-1001"/>
    <s v="Wireless Mouse"/>
    <x v="0"/>
    <n v="1"/>
    <n v="799"/>
    <n v="0"/>
    <n v="799"/>
    <n v="799"/>
    <n v="520"/>
    <n v="60"/>
    <x v="0"/>
    <x v="0"/>
    <x v="0"/>
    <s v="Not Returned"/>
    <s v="A.Khan"/>
    <s v="Unknown"/>
  </r>
  <r>
    <s v="ORD1014"/>
    <x v="2"/>
    <d v="1899-12-30T13:22:07"/>
    <s v="CUST-013"/>
    <s v="Dev Malhotra"/>
    <x v="1"/>
    <x v="0"/>
    <x v="8"/>
    <x v="1"/>
    <s v="P-2001"/>
    <s v="Office Chair"/>
    <x v="2"/>
    <n v="2"/>
    <n v="6499"/>
    <n v="0.1"/>
    <n v="12998"/>
    <n v="11698.2"/>
    <n v="4200"/>
    <n v="0"/>
    <x v="4"/>
    <x v="0"/>
    <x v="0"/>
    <s v="Not Returned"/>
    <s v="P.Singh"/>
    <s v="STR-03"/>
  </r>
  <r>
    <s v="ORD1012"/>
    <x v="2"/>
    <d v="1899-12-30T10:14:59"/>
    <s v="CUST-011"/>
    <s v="Rajesh Yadav"/>
    <x v="2"/>
    <x v="2"/>
    <x v="9"/>
    <x v="1"/>
    <s v="P-5001"/>
    <s v="Notebook Pack"/>
    <x v="3"/>
    <n v="20"/>
    <n v="129"/>
    <n v="0.05"/>
    <n v="2580"/>
    <n v="2451"/>
    <n v="70"/>
    <n v="0"/>
    <x v="3"/>
    <x v="0"/>
    <x v="0"/>
    <s v="Not Returned"/>
    <s v="R.Gupta"/>
    <s v="STR-05"/>
  </r>
  <r>
    <s v="ORD1015"/>
    <x v="2"/>
    <d v="1899-12-30T17:05:33"/>
    <s v="CUST-014"/>
    <s v="Kavya Reddy"/>
    <x v="0"/>
    <x v="1"/>
    <x v="1"/>
    <x v="2"/>
    <s v="P-4001"/>
    <s v="Running Shoes"/>
    <x v="4"/>
    <n v="1"/>
    <n v="3499"/>
    <n v="0.2"/>
    <n v="3499"/>
    <n v="2799.2"/>
    <n v="2200"/>
    <n v="120"/>
    <x v="2"/>
    <x v="0"/>
    <x v="1"/>
    <s v="ChaNot Returnedged miNot Returnedd"/>
    <s v="R.Gupta"/>
    <s v="Unknown"/>
  </r>
  <r>
    <s v="ORD1013"/>
    <x v="2"/>
    <d v="1899-12-30T11:49:16"/>
    <s v="CUST-012"/>
    <s v="Farah Khan"/>
    <x v="0"/>
    <x v="1"/>
    <x v="10"/>
    <x v="0"/>
    <s v="P-3003"/>
    <s v="LED Desk Lamp"/>
    <x v="1"/>
    <n v="1"/>
    <n v="1899"/>
    <n v="0.12"/>
    <n v="1899"/>
    <n v="1671.12"/>
    <n v="980"/>
    <n v="85"/>
    <x v="2"/>
    <x v="0"/>
    <x v="0"/>
    <s v="Not Returned"/>
    <s v="S.Roy"/>
    <s v="Unknown"/>
  </r>
  <r>
    <s v="ORD1016"/>
    <x v="3"/>
    <d v="1899-12-30T09:41:55"/>
    <s v="CUST-015"/>
    <s v="Nikhil Jain"/>
    <x v="0"/>
    <x v="2"/>
    <x v="2"/>
    <x v="0"/>
    <s v="P-1003"/>
    <s v="Power Bank"/>
    <x v="0"/>
    <n v="1"/>
    <n v="2199"/>
    <n v="0.1"/>
    <n v="2199"/>
    <n v="1979.1"/>
    <n v="1400"/>
    <n v="70"/>
    <x v="0"/>
    <x v="0"/>
    <x v="0"/>
    <s v="Not Returned"/>
    <s v="A.Khan"/>
    <s v="Unknown"/>
  </r>
  <r>
    <s v="ORD1020"/>
    <x v="3"/>
    <d v="1899-12-30T16:33:20"/>
    <s v="CUST-019"/>
    <s v="Sameer Khan"/>
    <x v="1"/>
    <x v="0"/>
    <x v="11"/>
    <x v="1"/>
    <s v="P-2002"/>
    <s v="Standing Desk"/>
    <x v="2"/>
    <n v="1"/>
    <n v="15999"/>
    <n v="0.05"/>
    <n v="15999"/>
    <n v="15199.05"/>
    <n v="10500"/>
    <n v="0"/>
    <x v="4"/>
    <x v="0"/>
    <x v="0"/>
    <s v="Not Returned"/>
    <s v="P.Singh"/>
    <s v="STR-10"/>
  </r>
  <r>
    <s v="ORD1018"/>
    <x v="3"/>
    <d v="1899-12-30T12:55:12"/>
    <s v="CUST-017"/>
    <s v="Harsh Bansal"/>
    <x v="2"/>
    <x v="0"/>
    <x v="12"/>
    <x v="1"/>
    <s v="P-5002"/>
    <s v="Pen Set"/>
    <x v="3"/>
    <n v="12"/>
    <n v="199"/>
    <n v="0.05"/>
    <n v="2388"/>
    <n v="2268.6"/>
    <n v="80"/>
    <n v="0"/>
    <x v="3"/>
    <x v="0"/>
    <x v="0"/>
    <s v="Not Returned"/>
    <s v="R.Gupta"/>
    <s v="STR-09"/>
  </r>
  <r>
    <s v="ORD1019"/>
    <x v="3"/>
    <d v="1899-12-30T14:17:49"/>
    <s v="CUST-018"/>
    <s v="  Pooja Sharma  "/>
    <x v="0"/>
    <x v="3"/>
    <x v="4"/>
    <x v="2"/>
    <s v="P-4002"/>
    <s v="Yoga Mat"/>
    <x v="4"/>
    <n v="2"/>
    <n v="1299"/>
    <n v="0.15"/>
    <n v="2598"/>
    <n v="2208.3000000000002"/>
    <n v="650"/>
    <n v="100"/>
    <x v="5"/>
    <x v="0"/>
    <x v="0"/>
    <s v="Not Returned"/>
    <s v="R.Gupta"/>
    <s v="Unknown"/>
  </r>
  <r>
    <s v="ORD1017"/>
    <x v="3"/>
    <d v="1899-12-30T11:02:38"/>
    <s v="CUST-016"/>
    <s v="Asha Thomas"/>
    <x v="0"/>
    <x v="1"/>
    <x v="13"/>
    <x v="0"/>
    <s v="P-3002"/>
    <s v="Coffee Mug"/>
    <x v="1"/>
    <n v="4"/>
    <n v="349"/>
    <n v="0"/>
    <n v="1396"/>
    <n v="1396"/>
    <n v="140"/>
    <n v="75"/>
    <x v="1"/>
    <x v="0"/>
    <x v="0"/>
    <s v="Not Returned"/>
    <s v="S.Roy"/>
    <s v="Unknown"/>
  </r>
  <r>
    <s v="ORD1021"/>
    <x v="4"/>
    <d v="1899-12-30T09:09:31"/>
    <s v="CUST-020"/>
    <s v="Ritika Sen"/>
    <x v="0"/>
    <x v="3"/>
    <x v="14"/>
    <x v="0"/>
    <s v="P-1002"/>
    <s v="USB-C Cable"/>
    <x v="0"/>
    <n v="3"/>
    <n v="299"/>
    <n v="0"/>
    <n v="897"/>
    <n v="897"/>
    <n v="120"/>
    <n v="61.42"/>
    <x v="0"/>
    <x v="0"/>
    <x v="0"/>
    <s v="Not Returned"/>
    <s v="A.Khan"/>
    <s v="Unknown"/>
  </r>
  <r>
    <s v="ORD1025"/>
    <x v="4"/>
    <d v="1899-12-30T15:21:50"/>
    <s v="CUST-024"/>
    <s v="Naina Patel"/>
    <x v="0"/>
    <x v="2"/>
    <x v="7"/>
    <x v="0"/>
    <s v="P-1003"/>
    <s v="Power Bank"/>
    <x v="0"/>
    <n v="2"/>
    <n v="2199"/>
    <n v="0.12"/>
    <n v="4398"/>
    <n v="3870.24"/>
    <n v="1400"/>
    <n v="80"/>
    <x v="0"/>
    <x v="0"/>
    <x v="0"/>
    <s v="Not Returned"/>
    <s v="A.Khan"/>
    <s v="Unknown"/>
  </r>
  <r>
    <s v="ORD1021"/>
    <x v="4"/>
    <d v="1899-12-30T09:09:31"/>
    <s v="CUST-020"/>
    <s v="Ritika Sen"/>
    <x v="0"/>
    <x v="3"/>
    <x v="14"/>
    <x v="0"/>
    <s v="P-1002"/>
    <s v="USB-C Cable"/>
    <x v="0"/>
    <n v="3"/>
    <n v="299"/>
    <n v="0"/>
    <n v="897"/>
    <n v="897"/>
    <n v="120"/>
    <n v="65"/>
    <x v="0"/>
    <x v="0"/>
    <x v="0"/>
    <s v="Not Returned"/>
    <s v="A.Khan"/>
    <s v="Unknown"/>
  </r>
  <r>
    <s v="ORD1022"/>
    <x v="4"/>
    <d v="1899-12-30T10:47:06"/>
    <s v="CUST-021"/>
    <s v="Manish Agarwal"/>
    <x v="2"/>
    <x v="2"/>
    <x v="15"/>
    <x v="1"/>
    <s v="P-5001"/>
    <s v="Notebook Pack"/>
    <x v="3"/>
    <n v="15"/>
    <n v="129"/>
    <n v="0.08"/>
    <n v="1935"/>
    <n v="1780.2"/>
    <n v="70"/>
    <n v="0"/>
    <x v="3"/>
    <x v="0"/>
    <x v="0"/>
    <s v="Not Returned"/>
    <s v="R.Gupta"/>
    <s v="STR-06"/>
  </r>
  <r>
    <s v="ORD1023"/>
    <x v="4"/>
    <d v="1899-12-30T12:16:44"/>
    <s v="CUST-022"/>
    <s v="Leena Joseph"/>
    <x v="0"/>
    <x v="1"/>
    <x v="10"/>
    <x v="0"/>
    <s v="P-3003"/>
    <s v="LED Desk Lamp"/>
    <x v="1"/>
    <n v="2"/>
    <n v="1899"/>
    <n v="0.1"/>
    <n v="3798"/>
    <n v="3418.2"/>
    <n v="980"/>
    <n v="90"/>
    <x v="2"/>
    <x v="0"/>
    <x v="0"/>
    <s v="Not Returned"/>
    <s v="S.Roy"/>
    <s v="Unknown"/>
  </r>
  <r>
    <s v="ORD1024"/>
    <x v="4"/>
    <d v="1899-12-30T13:58:17"/>
    <s v="CUST-023"/>
    <s v="Aditya Singh"/>
    <x v="0"/>
    <x v="0"/>
    <x v="0"/>
    <x v="2"/>
    <s v="P-4001"/>
    <s v="Running Shoes"/>
    <x v="4"/>
    <n v="1"/>
    <n v="3499"/>
    <n v="0.05"/>
    <n v="3499"/>
    <n v="3324.05"/>
    <n v="2200"/>
    <n v="120"/>
    <x v="2"/>
    <x v="0"/>
    <x v="0"/>
    <s v="Not Returned"/>
    <s v="R.Gupta"/>
    <s v="Unknown"/>
  </r>
  <r>
    <s v="ORD1026"/>
    <x v="5"/>
    <d v="1899-12-30T08:51:22"/>
    <s v="CUST-025"/>
    <s v="Yusuf Sheikh"/>
    <x v="0"/>
    <x v="0"/>
    <x v="0"/>
    <x v="0"/>
    <s v="P-1001"/>
    <s v="Wireless Mouse"/>
    <x v="0"/>
    <n v="3"/>
    <n v="799"/>
    <n v="0.05"/>
    <n v="2397"/>
    <n v="2277.15"/>
    <n v="520"/>
    <n v="70"/>
    <x v="0"/>
    <x v="0"/>
    <x v="0"/>
    <s v="Not Returned"/>
    <s v="A.Khan"/>
    <s v="Unknown"/>
  </r>
  <r>
    <s v="ORD1027"/>
    <x v="5"/>
    <d v="1899-12-30T10:33:41"/>
    <s v="CUST-026"/>
    <s v="Sonia Das"/>
    <x v="1"/>
    <x v="3"/>
    <x v="16"/>
    <x v="1"/>
    <s v="P-2001"/>
    <s v="Office Chair"/>
    <x v="2"/>
    <n v="1"/>
    <n v="6499"/>
    <n v="0"/>
    <n v="6499"/>
    <n v="6499"/>
    <n v="4200"/>
    <n v="0"/>
    <x v="4"/>
    <x v="0"/>
    <x v="0"/>
    <s v="Not Returned"/>
    <s v="P.Singh"/>
    <s v="STR-12"/>
  </r>
  <r>
    <s v="ORD1029"/>
    <x v="5"/>
    <d v="1899-12-30T13:40:26"/>
    <s v="CUST-028"/>
    <s v="Anjali Bose"/>
    <x v="0"/>
    <x v="3"/>
    <x v="4"/>
    <x v="2"/>
    <s v="P-4002"/>
    <s v="Yoga Mat"/>
    <x v="4"/>
    <n v="1"/>
    <n v="1299"/>
    <n v="0"/>
    <n v="1299"/>
    <n v="1299"/>
    <n v="650"/>
    <n v="90"/>
    <x v="5"/>
    <x v="0"/>
    <x v="0"/>
    <s v="Not Returned"/>
    <s v="R.Gupta"/>
    <s v="Unknown"/>
  </r>
  <r>
    <s v="ORD1030"/>
    <x v="5"/>
    <d v="1899-12-30T16:12:57"/>
    <s v="CUST-029"/>
    <s v="Deepak Chawla"/>
    <x v="2"/>
    <x v="0"/>
    <x v="17"/>
    <x v="1"/>
    <s v="P-5002"/>
    <s v="Pen Set"/>
    <x v="3"/>
    <n v="20"/>
    <n v="199"/>
    <n v="0.1"/>
    <n v="3980"/>
    <n v="3582"/>
    <n v="80"/>
    <n v="0"/>
    <x v="3"/>
    <x v="0"/>
    <x v="0"/>
    <s v="Not Returned"/>
    <s v="R.Gupta"/>
    <s v="STR-08"/>
  </r>
  <r>
    <s v="ORD1028"/>
    <x v="5"/>
    <d v="1899-12-30T11:59:08"/>
    <s v="CUST-027"/>
    <s v="Rahul Tiwari"/>
    <x v="0"/>
    <x v="2"/>
    <x v="18"/>
    <x v="0"/>
    <s v="P-3001"/>
    <s v="Water Bottle"/>
    <x v="1"/>
    <n v="6"/>
    <n v="499"/>
    <n v="0.1"/>
    <n v="2994"/>
    <n v="2694.6"/>
    <n v="180"/>
    <n v="95"/>
    <x v="1"/>
    <x v="0"/>
    <x v="0"/>
    <s v="Not Returned"/>
    <s v="S.Roy"/>
    <s v="Unknown"/>
  </r>
  <r>
    <s v="ORD1031"/>
    <x v="6"/>
    <d v="1899-12-30T09:15:03"/>
    <s v="CUST-030"/>
    <s v="Shreya Kulkarni"/>
    <x v="0"/>
    <x v="2"/>
    <x v="2"/>
    <x v="0"/>
    <s v="P-1002"/>
    <s v="USB-C Cable"/>
    <x v="0"/>
    <n v="2"/>
    <n v="299"/>
    <n v="0.05"/>
    <n v="598"/>
    <n v="568.1"/>
    <n v="120"/>
    <n v="60"/>
    <x v="0"/>
    <x v="0"/>
    <x v="0"/>
    <s v="Not Returned"/>
    <s v="A.Khan"/>
    <s v="Unknown"/>
  </r>
  <r>
    <s v="ORD1035"/>
    <x v="6"/>
    <d v="1899-12-30T15:42:10"/>
    <s v="CUST-034"/>
    <s v="Isha Arora"/>
    <x v="0"/>
    <x v="2"/>
    <x v="7"/>
    <x v="0"/>
    <s v="P-1003"/>
    <s v="Power Bank"/>
    <x v="0"/>
    <n v="1"/>
    <n v="2199"/>
    <n v="0"/>
    <n v="2199"/>
    <n v="2199"/>
    <n v="1400"/>
    <n v="70"/>
    <x v="0"/>
    <x v="1"/>
    <x v="0"/>
    <s v="Not Returned"/>
    <s v="A.Khan"/>
    <s v="Unknown"/>
  </r>
  <r>
    <s v="ORD1036"/>
    <x v="6"/>
    <d v="1899-12-30T17:08:54"/>
    <s v="CUST-035"/>
    <s v="Kunal Verma"/>
    <x v="2"/>
    <x v="0"/>
    <x v="0"/>
    <x v="1"/>
    <s v="P-5001"/>
    <s v="Notebook Pack"/>
    <x v="3"/>
    <n v="30"/>
    <n v="129"/>
    <n v="0.12"/>
    <n v="3870"/>
    <n v="3405.6"/>
    <n v="70"/>
    <n v="0"/>
    <x v="3"/>
    <x v="0"/>
    <x v="0"/>
    <s v="Not Returned"/>
    <s v="R.Gupta"/>
    <s v="STR-01"/>
  </r>
  <r>
    <s v="ORD1032"/>
    <x v="6"/>
    <d v="1899-12-30T10:28:49"/>
    <s v="CUST-031"/>
    <s v="Amit Bhatia"/>
    <x v="1"/>
    <x v="0"/>
    <x v="11"/>
    <x v="1"/>
    <s v="P-2002"/>
    <s v="Standing Desk"/>
    <x v="2"/>
    <n v="2"/>
    <n v="15999"/>
    <n v="0.1"/>
    <n v="31998"/>
    <n v="28798.2"/>
    <n v="10500"/>
    <n v="0"/>
    <x v="4"/>
    <x v="0"/>
    <x v="0"/>
    <s v="Not Returned"/>
    <s v="P.Singh"/>
    <s v="STR-10"/>
  </r>
  <r>
    <s v="ORD1033"/>
    <x v="6"/>
    <d v="1899-12-30T11:46:12"/>
    <s v="CUST-032"/>
    <s v="Megha Sood"/>
    <x v="0"/>
    <x v="1"/>
    <x v="10"/>
    <x v="0"/>
    <s v="P-3002"/>
    <s v="Coffee Mug"/>
    <x v="1"/>
    <n v="1"/>
    <n v="349"/>
    <n v="0"/>
    <n v="349"/>
    <n v="349"/>
    <n v="140"/>
    <n v="60"/>
    <x v="1"/>
    <x v="0"/>
    <x v="0"/>
    <s v="Not Returned"/>
    <s v="S.Roy"/>
    <s v="Unknown"/>
  </r>
  <r>
    <s v="ORD1034"/>
    <x v="6"/>
    <d v="1899-12-30T13:03:27"/>
    <s v="CUST-033"/>
    <s v="Varun Joshi"/>
    <x v="0"/>
    <x v="0"/>
    <x v="0"/>
    <x v="2"/>
    <s v="P-4001"/>
    <s v="Running Shoes"/>
    <x v="4"/>
    <n v="1"/>
    <n v="3499"/>
    <n v="0.18"/>
    <n v="3499"/>
    <n v="2869.18"/>
    <n v="2200"/>
    <n v="120"/>
    <x v="2"/>
    <x v="0"/>
    <x v="1"/>
    <s v="WroNot Returnedg size"/>
    <s v="R.Gupta"/>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F1A2F-5396-4529-8533-DB6635CB866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0" firstHeaderRow="0" firstDataRow="1" firstDataCol="1"/>
  <pivotFields count="25">
    <pivotField dataField="1" showAll="0"/>
    <pivotField axis="axisRow" numFmtId="14" showAll="0">
      <items count="8">
        <item x="0"/>
        <item x="1"/>
        <item x="2"/>
        <item x="3"/>
        <item x="4"/>
        <item x="5"/>
        <item x="6"/>
        <item t="default"/>
      </items>
    </pivotField>
    <pivotField numFmtId="21"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2"/>
        <item x="1"/>
        <item x="4"/>
        <item x="3"/>
        <item t="default"/>
      </items>
    </pivotField>
    <pivotField showAll="0"/>
    <pivotField showAll="0"/>
    <pivotField numFmtId="9"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x v="6"/>
    </i>
  </rowItems>
  <colFields count="1">
    <field x="-2"/>
  </colFields>
  <colItems count="2">
    <i>
      <x/>
    </i>
    <i i="1">
      <x v="1"/>
    </i>
  </colItems>
  <dataFields count="2">
    <dataField name="Sum of Net Sales" fld="16" baseField="0" baseItem="0"/>
    <dataField name="Count of Order ID2"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4BEB6-19A3-4B6A-BE6B-190A6BCA9D5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D7" firstHeaderRow="1" firstDataRow="2" firstDataCol="1"/>
  <pivotFields count="25">
    <pivotField showAll="0"/>
    <pivotField numFmtId="14" showAll="0">
      <items count="8">
        <item x="0"/>
        <item x="1"/>
        <item x="2"/>
        <item x="3"/>
        <item x="4"/>
        <item x="5"/>
        <item x="6"/>
        <item t="default"/>
      </items>
    </pivotField>
    <pivotField numFmtId="21" showAll="0"/>
    <pivotField showAll="0"/>
    <pivotField showAll="0"/>
    <pivotField axis="axisRow" showAll="0">
      <items count="4">
        <item x="0"/>
        <item x="1"/>
        <item x="2"/>
        <item t="default"/>
      </items>
    </pivotField>
    <pivotField showAll="0"/>
    <pivotField showAll="0"/>
    <pivotField axis="axisCol" showAll="0">
      <items count="4">
        <item x="2"/>
        <item x="0"/>
        <item x="1"/>
        <item t="default"/>
      </items>
    </pivotField>
    <pivotField showAll="0"/>
    <pivotField showAll="0"/>
    <pivotField showAll="0">
      <items count="6">
        <item x="0"/>
        <item x="2"/>
        <item x="1"/>
        <item x="4"/>
        <item x="3"/>
        <item t="default"/>
      </items>
    </pivotField>
    <pivotField showAll="0"/>
    <pivotField showAll="0"/>
    <pivotField numFmtId="9"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8"/>
  </colFields>
  <colItems count="3">
    <i>
      <x/>
    </i>
    <i>
      <x v="1"/>
    </i>
    <i>
      <x v="2"/>
    </i>
  </colItems>
  <dataFields count="1">
    <dataField name="Sum of Net Sales" fld="16"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2"/>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5" series="1">
      <pivotArea type="data" outline="0" fieldPosition="0">
        <references count="2">
          <reference field="4294967294" count="1" selected="0">
            <x v="0"/>
          </reference>
          <reference field="8" count="1" selected="0">
            <x v="0"/>
          </reference>
        </references>
      </pivotArea>
    </chartFormat>
    <chartFormat chart="0" format="3"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FC9067-4FF3-4DD5-94D4-AC6B2F2D5EA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E23" firstHeaderRow="1" firstDataRow="2" firstDataCol="1"/>
  <pivotFields count="25">
    <pivotField showAll="0"/>
    <pivotField numFmtId="14" showAll="0">
      <items count="8">
        <item x="0"/>
        <item x="1"/>
        <item x="2"/>
        <item x="3"/>
        <item x="4"/>
        <item x="5"/>
        <item x="6"/>
        <item t="default"/>
      </items>
    </pivotField>
    <pivotField numFmtId="21" showAll="0"/>
    <pivotField showAll="0"/>
    <pivotField showAll="0"/>
    <pivotField showAll="0"/>
    <pivotField axis="axisCol" showAll="0">
      <items count="5">
        <item x="3"/>
        <item x="0"/>
        <item x="1"/>
        <item x="2"/>
        <item t="default"/>
      </items>
    </pivotField>
    <pivotField axis="axisRow" showAll="0">
      <items count="20">
        <item x="9"/>
        <item x="1"/>
        <item x="16"/>
        <item x="3"/>
        <item x="10"/>
        <item x="0"/>
        <item x="8"/>
        <item x="14"/>
        <item x="6"/>
        <item x="12"/>
        <item x="13"/>
        <item x="4"/>
        <item x="17"/>
        <item x="2"/>
        <item x="18"/>
        <item x="11"/>
        <item x="5"/>
        <item x="7"/>
        <item x="15"/>
        <item t="default"/>
      </items>
    </pivotField>
    <pivotField showAll="0">
      <items count="4">
        <item x="2"/>
        <item x="0"/>
        <item x="1"/>
        <item t="default"/>
      </items>
    </pivotField>
    <pivotField showAll="0"/>
    <pivotField showAll="0"/>
    <pivotField showAll="0">
      <items count="6">
        <item x="0"/>
        <item x="2"/>
        <item x="1"/>
        <item x="4"/>
        <item x="3"/>
        <item t="default"/>
      </items>
    </pivotField>
    <pivotField showAll="0"/>
    <pivotField showAll="0"/>
    <pivotField numFmtId="9"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19">
    <i>
      <x/>
    </i>
    <i>
      <x v="1"/>
    </i>
    <i>
      <x v="2"/>
    </i>
    <i>
      <x v="3"/>
    </i>
    <i>
      <x v="4"/>
    </i>
    <i>
      <x v="5"/>
    </i>
    <i>
      <x v="6"/>
    </i>
    <i>
      <x v="7"/>
    </i>
    <i>
      <x v="8"/>
    </i>
    <i>
      <x v="9"/>
    </i>
    <i>
      <x v="10"/>
    </i>
    <i>
      <x v="11"/>
    </i>
    <i>
      <x v="12"/>
    </i>
    <i>
      <x v="13"/>
    </i>
    <i>
      <x v="14"/>
    </i>
    <i>
      <x v="15"/>
    </i>
    <i>
      <x v="16"/>
    </i>
    <i>
      <x v="17"/>
    </i>
    <i>
      <x v="18"/>
    </i>
  </rowItems>
  <colFields count="1">
    <field x="6"/>
  </colFields>
  <colItems count="4">
    <i>
      <x/>
    </i>
    <i>
      <x v="1"/>
    </i>
    <i>
      <x v="2"/>
    </i>
    <i>
      <x v="3"/>
    </i>
  </colItems>
  <dataFields count="1">
    <dataField name="Sum of Net Sales" fld="16"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D4ABA-8B30-4300-8554-90F7CF6E4D3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C8" firstHeaderRow="0" firstDataRow="1" firstDataCol="1"/>
  <pivotFields count="25">
    <pivotField showAll="0"/>
    <pivotField numFmtId="14" showAll="0">
      <items count="8">
        <item x="0"/>
        <item x="1"/>
        <item x="2"/>
        <item x="3"/>
        <item x="4"/>
        <item x="5"/>
        <item x="6"/>
        <item t="default"/>
      </items>
    </pivotField>
    <pivotField numFmtId="21" showAll="0"/>
    <pivotField showAll="0"/>
    <pivotField showAll="0"/>
    <pivotField showAll="0"/>
    <pivotField showAll="0"/>
    <pivotField showAll="0"/>
    <pivotField showAll="0">
      <items count="4">
        <item x="2"/>
        <item x="0"/>
        <item x="1"/>
        <item t="default"/>
      </items>
    </pivotField>
    <pivotField showAll="0"/>
    <pivotField showAll="0"/>
    <pivotField axis="axisRow" showAll="0">
      <items count="6">
        <item x="0"/>
        <item x="2"/>
        <item x="1"/>
        <item x="4"/>
        <item x="3"/>
        <item t="default"/>
      </items>
    </pivotField>
    <pivotField dataField="1" showAll="0"/>
    <pivotField showAll="0"/>
    <pivotField numFmtId="9" showAll="0"/>
    <pivotField showAll="0"/>
    <pivotField dataField="1" showAll="0"/>
    <pivotField showAll="0"/>
    <pivotField showAll="0"/>
    <pivotField showAll="0"/>
    <pivotField showAll="0"/>
    <pivotField showAll="0"/>
    <pivotField showAll="0"/>
    <pivotField showAll="0"/>
    <pivotField showAll="0"/>
  </pivotFields>
  <rowFields count="1">
    <field x="11"/>
  </rowFields>
  <rowItems count="5">
    <i>
      <x/>
    </i>
    <i>
      <x v="1"/>
    </i>
    <i>
      <x v="2"/>
    </i>
    <i>
      <x v="3"/>
    </i>
    <i>
      <x v="4"/>
    </i>
  </rowItems>
  <colFields count="1">
    <field x="-2"/>
  </colFields>
  <colItems count="2">
    <i>
      <x/>
    </i>
    <i i="1">
      <x v="1"/>
    </i>
  </colItems>
  <dataFields count="2">
    <dataField name="Sum of Quantity" fld="12" baseField="0" baseItem="0"/>
    <dataField name="Sum of Net Sales" fld="1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1" count="1" selected="0">
            <x v="4"/>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11" count="1" selected="0">
            <x v="0"/>
          </reference>
        </references>
      </pivotArea>
    </chartFormat>
    <chartFormat chart="8" format="17">
      <pivotArea type="data" outline="0" fieldPosition="0">
        <references count="2">
          <reference field="4294967294" count="1" selected="0">
            <x v="0"/>
          </reference>
          <reference field="11" count="1" selected="0">
            <x v="1"/>
          </reference>
        </references>
      </pivotArea>
    </chartFormat>
    <chartFormat chart="8" format="18">
      <pivotArea type="data" outline="0" fieldPosition="0">
        <references count="2">
          <reference field="4294967294" count="1" selected="0">
            <x v="0"/>
          </reference>
          <reference field="11" count="1" selected="0">
            <x v="2"/>
          </reference>
        </references>
      </pivotArea>
    </chartFormat>
    <chartFormat chart="8" format="19">
      <pivotArea type="data" outline="0" fieldPosition="0">
        <references count="2">
          <reference field="4294967294" count="1" selected="0">
            <x v="0"/>
          </reference>
          <reference field="11" count="1" selected="0">
            <x v="3"/>
          </reference>
        </references>
      </pivotArea>
    </chartFormat>
    <chartFormat chart="8" format="20">
      <pivotArea type="data" outline="0" fieldPosition="0">
        <references count="2">
          <reference field="4294967294" count="1" selected="0">
            <x v="0"/>
          </reference>
          <reference field="11" count="1" selected="0">
            <x v="4"/>
          </reference>
        </references>
      </pivotArea>
    </chartFormat>
    <chartFormat chart="8" format="21" series="1">
      <pivotArea type="data" outline="0" fieldPosition="0">
        <references count="1">
          <reference field="4294967294" count="1" selected="0">
            <x v="1"/>
          </reference>
        </references>
      </pivotArea>
    </chartFormat>
    <chartFormat chart="8" format="22">
      <pivotArea type="data" outline="0" fieldPosition="0">
        <references count="2">
          <reference field="4294967294" count="1" selected="0">
            <x v="1"/>
          </reference>
          <reference field="11" count="1" selected="0">
            <x v="0"/>
          </reference>
        </references>
      </pivotArea>
    </chartFormat>
    <chartFormat chart="8" format="23">
      <pivotArea type="data" outline="0" fieldPosition="0">
        <references count="2">
          <reference field="4294967294" count="1" selected="0">
            <x v="1"/>
          </reference>
          <reference field="11" count="1" selected="0">
            <x v="1"/>
          </reference>
        </references>
      </pivotArea>
    </chartFormat>
    <chartFormat chart="8" format="24">
      <pivotArea type="data" outline="0" fieldPosition="0">
        <references count="2">
          <reference field="4294967294" count="1" selected="0">
            <x v="1"/>
          </reference>
          <reference field="11" count="1" selected="0">
            <x v="2"/>
          </reference>
        </references>
      </pivotArea>
    </chartFormat>
    <chartFormat chart="8" format="25">
      <pivotArea type="data" outline="0" fieldPosition="0">
        <references count="2">
          <reference field="4294967294" count="1" selected="0">
            <x v="1"/>
          </reference>
          <reference field="11" count="1" selected="0">
            <x v="3"/>
          </reference>
        </references>
      </pivotArea>
    </chartFormat>
    <chartFormat chart="8" format="26">
      <pivotArea type="data" outline="0" fieldPosition="0">
        <references count="2">
          <reference field="4294967294" count="1" selected="0">
            <x v="1"/>
          </reference>
          <reference field="11" count="1" selected="0">
            <x v="4"/>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2"/>
          </reference>
        </references>
      </pivotArea>
    </chartFormat>
    <chartFormat chart="0" format="6">
      <pivotArea type="data" outline="0" fieldPosition="0">
        <references count="2">
          <reference field="4294967294" count="1" selected="0">
            <x v="0"/>
          </reference>
          <reference field="11" count="1" selected="0">
            <x v="3"/>
          </reference>
        </references>
      </pivotArea>
    </chartFormat>
    <chartFormat chart="0" format="7">
      <pivotArea type="data" outline="0" fieldPosition="0">
        <references count="2">
          <reference field="4294967294" count="1" selected="0">
            <x v="1"/>
          </reference>
          <reference field="11" count="1" selected="0">
            <x v="0"/>
          </reference>
        </references>
      </pivotArea>
    </chartFormat>
    <chartFormat chart="0" format="8">
      <pivotArea type="data" outline="0" fieldPosition="0">
        <references count="2">
          <reference field="4294967294" count="1" selected="0">
            <x v="1"/>
          </reference>
          <reference field="11" count="1" selected="0">
            <x v="1"/>
          </reference>
        </references>
      </pivotArea>
    </chartFormat>
    <chartFormat chart="0" format="9">
      <pivotArea type="data" outline="0" fieldPosition="0">
        <references count="2">
          <reference field="4294967294" count="1" selected="0">
            <x v="1"/>
          </reference>
          <reference field="11" count="1" selected="0">
            <x v="2"/>
          </reference>
        </references>
      </pivotArea>
    </chartFormat>
    <chartFormat chart="0" format="10">
      <pivotArea type="data" outline="0" fieldPosition="0">
        <references count="2">
          <reference field="4294967294" count="1" selected="0">
            <x v="1"/>
          </reference>
          <reference field="11" count="1" selected="0">
            <x v="3"/>
          </reference>
        </references>
      </pivotArea>
    </chartFormat>
    <chartFormat chart="0" format="11">
      <pivotArea type="data" outline="0" fieldPosition="0">
        <references count="2">
          <reference field="4294967294" count="1" selected="0">
            <x v="1"/>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33C60-387B-4261-A7AC-37D2A837B44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9" firstHeaderRow="1" firstDataRow="1" firstDataCol="1"/>
  <pivotFields count="25">
    <pivotField showAll="0"/>
    <pivotField numFmtId="14" showAll="0">
      <items count="8">
        <item x="0"/>
        <item x="1"/>
        <item x="2"/>
        <item x="3"/>
        <item x="4"/>
        <item x="5"/>
        <item x="6"/>
        <item t="default"/>
      </items>
    </pivotField>
    <pivotField numFmtId="21"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2"/>
        <item x="1"/>
        <item x="4"/>
        <item x="3"/>
        <item t="default"/>
      </items>
    </pivotField>
    <pivotField showAll="0"/>
    <pivotField showAll="0"/>
    <pivotField numFmtId="9" showAll="0"/>
    <pivotField showAll="0"/>
    <pivotField dataField="1" showAll="0"/>
    <pivotField showAll="0"/>
    <pivotField showAll="0"/>
    <pivotField axis="axisRow" showAll="0">
      <items count="7">
        <item x="3"/>
        <item x="2"/>
        <item x="1"/>
        <item x="4"/>
        <item x="0"/>
        <item x="5"/>
        <item t="default"/>
      </items>
    </pivotField>
    <pivotField showAll="0"/>
    <pivotField showAll="0"/>
    <pivotField showAll="0"/>
    <pivotField showAll="0"/>
    <pivotField showAll="0"/>
  </pivotFields>
  <rowFields count="1">
    <field x="19"/>
  </rowFields>
  <rowItems count="6">
    <i>
      <x/>
    </i>
    <i>
      <x v="1"/>
    </i>
    <i>
      <x v="2"/>
    </i>
    <i>
      <x v="3"/>
    </i>
    <i>
      <x v="4"/>
    </i>
    <i>
      <x v="5"/>
    </i>
  </rowItems>
  <colItems count="1">
    <i/>
  </colItems>
  <dataFields count="1">
    <dataField name="Sum of Net Sales" fld="16"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9" count="1" selected="0">
            <x v="0"/>
          </reference>
        </references>
      </pivotArea>
    </chartFormat>
    <chartFormat chart="3" format="11">
      <pivotArea type="data" outline="0" fieldPosition="0">
        <references count="2">
          <reference field="4294967294" count="1" selected="0">
            <x v="0"/>
          </reference>
          <reference field="19" count="1" selected="0">
            <x v="1"/>
          </reference>
        </references>
      </pivotArea>
    </chartFormat>
    <chartFormat chart="3" format="12">
      <pivotArea type="data" outline="0" fieldPosition="0">
        <references count="2">
          <reference field="4294967294" count="1" selected="0">
            <x v="0"/>
          </reference>
          <reference field="19" count="1" selected="0">
            <x v="2"/>
          </reference>
        </references>
      </pivotArea>
    </chartFormat>
    <chartFormat chart="3" format="13">
      <pivotArea type="data" outline="0" fieldPosition="0">
        <references count="2">
          <reference field="4294967294" count="1" selected="0">
            <x v="0"/>
          </reference>
          <reference field="19" count="1" selected="0">
            <x v="3"/>
          </reference>
        </references>
      </pivotArea>
    </chartFormat>
    <chartFormat chart="3" format="14">
      <pivotArea type="data" outline="0" fieldPosition="0">
        <references count="2">
          <reference field="4294967294" count="1" selected="0">
            <x v="0"/>
          </reference>
          <reference field="19" count="1" selected="0">
            <x v="4"/>
          </reference>
        </references>
      </pivotArea>
    </chartFormat>
    <chartFormat chart="3" format="15">
      <pivotArea type="data" outline="0" fieldPosition="0">
        <references count="2">
          <reference field="4294967294" count="1" selected="0">
            <x v="0"/>
          </reference>
          <reference field="19" count="1" selected="0">
            <x v="5"/>
          </reference>
        </references>
      </pivotArea>
    </chartFormat>
    <chartFormat chart="0" format="2">
      <pivotArea type="data" outline="0" fieldPosition="0">
        <references count="2">
          <reference field="4294967294" count="1" selected="0">
            <x v="0"/>
          </reference>
          <reference field="19" count="1" selected="0">
            <x v="0"/>
          </reference>
        </references>
      </pivotArea>
    </chartFormat>
    <chartFormat chart="0" format="3">
      <pivotArea type="data" outline="0" fieldPosition="0">
        <references count="2">
          <reference field="4294967294" count="1" selected="0">
            <x v="0"/>
          </reference>
          <reference field="19" count="1" selected="0">
            <x v="1"/>
          </reference>
        </references>
      </pivotArea>
    </chartFormat>
    <chartFormat chart="0" format="4">
      <pivotArea type="data" outline="0" fieldPosition="0">
        <references count="2">
          <reference field="4294967294" count="1" selected="0">
            <x v="0"/>
          </reference>
          <reference field="19" count="1" selected="0">
            <x v="2"/>
          </reference>
        </references>
      </pivotArea>
    </chartFormat>
    <chartFormat chart="0" format="5">
      <pivotArea type="data" outline="0" fieldPosition="0">
        <references count="2">
          <reference field="4294967294" count="1" selected="0">
            <x v="0"/>
          </reference>
          <reference field="19" count="1" selected="0">
            <x v="4"/>
          </reference>
        </references>
      </pivotArea>
    </chartFormat>
    <chartFormat chart="0" format="6">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6C1A11-2A15-461C-BF0C-D4BF8D2CAC8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Order Status" colHeaderCaption="Return Flag">
  <location ref="A3:C6" firstHeaderRow="1" firstDataRow="2" firstDataCol="1"/>
  <pivotFields count="25">
    <pivotField showAll="0"/>
    <pivotField numFmtId="14" showAll="0">
      <items count="8">
        <item x="0"/>
        <item x="1"/>
        <item x="2"/>
        <item x="3"/>
        <item x="4"/>
        <item x="5"/>
        <item x="6"/>
        <item t="default"/>
      </items>
    </pivotField>
    <pivotField numFmtId="21" showAll="0"/>
    <pivotField showAll="0"/>
    <pivotField showAll="0"/>
    <pivotField showAll="0"/>
    <pivotField showAll="0"/>
    <pivotField showAll="0"/>
    <pivotField showAll="0">
      <items count="4">
        <item x="2"/>
        <item x="0"/>
        <item x="1"/>
        <item t="default"/>
      </items>
    </pivotField>
    <pivotField showAll="0"/>
    <pivotField showAll="0"/>
    <pivotField showAll="0">
      <items count="6">
        <item x="0"/>
        <item x="2"/>
        <item x="1"/>
        <item x="4"/>
        <item x="3"/>
        <item t="default"/>
      </items>
    </pivotField>
    <pivotField dataField="1" showAll="0"/>
    <pivotField showAll="0"/>
    <pivotField numFmtId="9" showAll="0"/>
    <pivotField showAll="0"/>
    <pivotField showAll="0"/>
    <pivotField showAll="0"/>
    <pivotField showAll="0"/>
    <pivotField showAll="0"/>
    <pivotField axis="axisRow" showAll="0">
      <items count="3">
        <item x="1"/>
        <item x="0"/>
        <item t="default"/>
      </items>
    </pivotField>
    <pivotField axis="axisCol" showAll="0">
      <items count="3">
        <item n="Not-Returned" x="0"/>
        <item n="Returned" x="1"/>
        <item t="default"/>
      </items>
    </pivotField>
    <pivotField showAll="0"/>
    <pivotField showAll="0"/>
    <pivotField showAll="0"/>
  </pivotFields>
  <rowFields count="1">
    <field x="20"/>
  </rowFields>
  <rowItems count="2">
    <i>
      <x/>
    </i>
    <i>
      <x v="1"/>
    </i>
  </rowItems>
  <colFields count="1">
    <field x="21"/>
  </colFields>
  <colItems count="2">
    <i>
      <x/>
    </i>
    <i>
      <x v="1"/>
    </i>
  </colItems>
  <dataFields count="1">
    <dataField name="Sum of Quantity" fld="12" baseField="0" baseItem="0"/>
  </dataField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0"/>
          </reference>
        </references>
      </pivotArea>
    </chartFormat>
    <chartFormat chart="2" format="3" series="1">
      <pivotArea type="data" outline="0" fieldPosition="0">
        <references count="2">
          <reference field="4294967294" count="1" selected="0">
            <x v="0"/>
          </reference>
          <reference field="21" count="1" selected="0">
            <x v="1"/>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EDD0756-3E25-4F12-BB48-B029FBC14096}" sourceName="Order Date">
  <pivotTables>
    <pivotTable tabId="4" name="PivotTable1"/>
    <pivotTable tabId="9" name="PivotTable4"/>
    <pivotTable tabId="6" name="PivotTable1"/>
    <pivotTable tabId="11" name="PivotTable6"/>
    <pivotTable tabId="10" name="PivotTable5"/>
    <pivotTable tabId="8" name="PivotTable3"/>
  </pivotTables>
  <data>
    <tabular pivotCacheId="1844964495">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5AE06F-440A-4D41-81A7-2A2FDEFBCD86}" sourceName="Channel">
  <pivotTables>
    <pivotTable tabId="4" name="PivotTable1"/>
    <pivotTable tabId="9" name="PivotTable4"/>
    <pivotTable tabId="6" name="PivotTable1"/>
    <pivotTable tabId="11" name="PivotTable6"/>
    <pivotTable tabId="10" name="PivotTable5"/>
    <pivotTable tabId="8" name="PivotTable3"/>
  </pivotTables>
  <data>
    <tabular pivotCacheId="184496449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D23A85-E01F-4F17-B618-09EBC071602C}" sourceName="Category">
  <pivotTables>
    <pivotTable tabId="4" name="PivotTable1"/>
    <pivotTable tabId="9" name="PivotTable4"/>
    <pivotTable tabId="6" name="PivotTable1"/>
    <pivotTable tabId="11" name="PivotTable6"/>
    <pivotTable tabId="10" name="PivotTable5"/>
    <pivotTable tabId="8" name="PivotTable3"/>
  </pivotTables>
  <data>
    <tabular pivotCacheId="1844964495">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FCD783D7-1D58-4919-A8EF-5B2FC86B8786}" cache="Slicer_Order_Date" caption="Order Date" style="SlicerStyleDark1" rowHeight="234000"/>
  <slicer name="Channel" xr10:uid="{8003FC26-CE5F-4202-A8CE-4FCBF3266152}" cache="Slicer_Channel" caption="Channel" style="SlicerStyleDark1" rowHeight="234000"/>
  <slicer name="Category" xr10:uid="{2F856406-C4D3-4D54-B642-F2ECB6729607}" cache="Slicer_Category" caption="Category" style="SlicerStyleDark1" rowHeight="23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DA65-E8A9-4EE4-BA63-E7F11C1BE207}">
  <dimension ref="A1:T28"/>
  <sheetViews>
    <sheetView showGridLines="0" tabSelected="1" zoomScaleNormal="100" workbookViewId="0">
      <selection sqref="A1:T1"/>
    </sheetView>
  </sheetViews>
  <sheetFormatPr defaultRowHeight="14.4" x14ac:dyDescent="0.3"/>
  <cols>
    <col min="12" max="12" width="15" customWidth="1"/>
    <col min="13" max="13" width="14.33203125" customWidth="1"/>
    <col min="16" max="16" width="15.77734375" customWidth="1"/>
    <col min="19" max="19" width="13.44140625" customWidth="1"/>
    <col min="20" max="20" width="14.77734375" customWidth="1"/>
    <col min="21" max="16384" width="8.88671875" style="10"/>
  </cols>
  <sheetData>
    <row r="1" spans="1:20" ht="25.8" x14ac:dyDescent="0.5">
      <c r="A1" s="11" t="s">
        <v>230</v>
      </c>
      <c r="B1" s="11"/>
      <c r="C1" s="11"/>
      <c r="D1" s="11"/>
      <c r="E1" s="11"/>
      <c r="F1" s="11"/>
      <c r="G1" s="11"/>
      <c r="H1" s="11"/>
      <c r="I1" s="11"/>
      <c r="J1" s="11"/>
      <c r="K1" s="11"/>
      <c r="L1" s="11"/>
      <c r="M1" s="11"/>
      <c r="N1" s="11"/>
      <c r="O1" s="11"/>
      <c r="P1" s="11"/>
      <c r="Q1" s="11"/>
      <c r="R1" s="11"/>
      <c r="S1" s="11"/>
      <c r="T1" s="11"/>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10" customFormat="1" x14ac:dyDescent="0.3"/>
    <row r="18" s="10" customFormat="1" x14ac:dyDescent="0.3"/>
    <row r="19" s="10" customFormat="1" x14ac:dyDescent="0.3"/>
    <row r="20" s="10" customFormat="1" x14ac:dyDescent="0.3"/>
    <row r="21" s="10" customFormat="1" x14ac:dyDescent="0.3"/>
    <row r="22" s="10" customFormat="1" x14ac:dyDescent="0.3"/>
    <row r="23" s="10" customFormat="1" x14ac:dyDescent="0.3"/>
    <row r="24" s="10" customFormat="1" x14ac:dyDescent="0.3"/>
    <row r="25" s="10" customFormat="1" x14ac:dyDescent="0.3"/>
    <row r="26" s="10" customFormat="1" x14ac:dyDescent="0.3"/>
    <row r="27" s="10" customFormat="1" x14ac:dyDescent="0.3"/>
    <row r="28" s="10" customFormat="1" x14ac:dyDescent="0.3"/>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5D30-54D6-46AC-B1BB-FDBB69B59F73}">
  <dimension ref="A3:C10"/>
  <sheetViews>
    <sheetView workbookViewId="0">
      <selection activeCell="B3" sqref="B3"/>
    </sheetView>
  </sheetViews>
  <sheetFormatPr defaultRowHeight="14.4" x14ac:dyDescent="0.3"/>
  <cols>
    <col min="1" max="1" width="12.5546875" bestFit="1" customWidth="1"/>
    <col min="2" max="2" width="15.21875" bestFit="1" customWidth="1"/>
    <col min="3" max="3" width="16.88671875" bestFit="1" customWidth="1"/>
  </cols>
  <sheetData>
    <row r="3" spans="1:3" x14ac:dyDescent="0.3">
      <c r="A3" s="5" t="s">
        <v>223</v>
      </c>
      <c r="B3" t="s">
        <v>222</v>
      </c>
      <c r="C3" t="s">
        <v>224</v>
      </c>
    </row>
    <row r="4" spans="1:3" x14ac:dyDescent="0.3">
      <c r="A4" s="6">
        <v>46174</v>
      </c>
      <c r="B4" s="12">
        <v>13373.4</v>
      </c>
      <c r="C4" s="12">
        <v>5</v>
      </c>
    </row>
    <row r="5" spans="1:3" x14ac:dyDescent="0.3">
      <c r="A5" s="6">
        <v>46175</v>
      </c>
      <c r="B5" s="12">
        <v>18503.079999999998</v>
      </c>
      <c r="C5" s="12">
        <v>5</v>
      </c>
    </row>
    <row r="6" spans="1:3" x14ac:dyDescent="0.3">
      <c r="A6" s="6">
        <v>46176</v>
      </c>
      <c r="B6" s="12">
        <v>19418.52</v>
      </c>
      <c r="C6" s="12">
        <v>5</v>
      </c>
    </row>
    <row r="7" spans="1:3" x14ac:dyDescent="0.3">
      <c r="A7" s="6">
        <v>46177</v>
      </c>
      <c r="B7" s="12">
        <v>23051.049999999996</v>
      </c>
      <c r="C7" s="12">
        <v>5</v>
      </c>
    </row>
    <row r="8" spans="1:3" x14ac:dyDescent="0.3">
      <c r="A8" s="6">
        <v>46178</v>
      </c>
      <c r="B8" s="12">
        <v>14186.689999999999</v>
      </c>
      <c r="C8" s="12">
        <v>6</v>
      </c>
    </row>
    <row r="9" spans="1:3" x14ac:dyDescent="0.3">
      <c r="A9" s="6">
        <v>46179</v>
      </c>
      <c r="B9" s="12">
        <v>16351.75</v>
      </c>
      <c r="C9" s="12">
        <v>5</v>
      </c>
    </row>
    <row r="10" spans="1:3" x14ac:dyDescent="0.3">
      <c r="A10" s="6">
        <v>46180</v>
      </c>
      <c r="B10" s="12">
        <v>38189.08</v>
      </c>
      <c r="C10" s="12">
        <v>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256E-FA9B-413A-84DE-C175E65C27E5}">
  <dimension ref="A3:D7"/>
  <sheetViews>
    <sheetView workbookViewId="0">
      <selection activeCell="B5" sqref="B5"/>
    </sheetView>
  </sheetViews>
  <sheetFormatPr defaultRowHeight="14.4" x14ac:dyDescent="0.3"/>
  <cols>
    <col min="1" max="1" width="15.21875" bestFit="1" customWidth="1"/>
    <col min="2" max="2" width="15.5546875" bestFit="1" customWidth="1"/>
    <col min="3" max="4" width="9" bestFit="1" customWidth="1"/>
    <col min="5" max="5" width="10.77734375" bestFit="1" customWidth="1"/>
    <col min="6" max="6" width="4" bestFit="1" customWidth="1"/>
    <col min="7" max="7" width="6" bestFit="1" customWidth="1"/>
    <col min="8" max="8" width="4" bestFit="1" customWidth="1"/>
    <col min="9" max="9" width="7" bestFit="1" customWidth="1"/>
    <col min="10" max="12" width="5" bestFit="1" customWidth="1"/>
    <col min="13" max="13" width="7" bestFit="1" customWidth="1"/>
    <col min="14" max="14" width="5" bestFit="1" customWidth="1"/>
    <col min="15" max="15" width="8" bestFit="1" customWidth="1"/>
    <col min="16" max="17" width="7" bestFit="1" customWidth="1"/>
    <col min="18" max="18" width="5" bestFit="1" customWidth="1"/>
    <col min="19" max="20" width="7" bestFit="1" customWidth="1"/>
    <col min="21" max="21" width="8" bestFit="1" customWidth="1"/>
    <col min="22" max="22" width="5" bestFit="1" customWidth="1"/>
    <col min="23" max="24" width="7" bestFit="1" customWidth="1"/>
    <col min="25" max="27" width="8" bestFit="1" customWidth="1"/>
    <col min="28" max="29" width="7" bestFit="1" customWidth="1"/>
    <col min="30" max="30" width="5" bestFit="1" customWidth="1"/>
    <col min="31" max="32" width="8" bestFit="1" customWidth="1"/>
    <col min="33" max="33" width="5" bestFit="1" customWidth="1"/>
    <col min="34" max="34" width="8" bestFit="1" customWidth="1"/>
    <col min="35" max="36" width="9" bestFit="1" customWidth="1"/>
    <col min="37" max="37" width="8" bestFit="1" customWidth="1"/>
    <col min="38" max="38" width="10.77734375" bestFit="1" customWidth="1"/>
  </cols>
  <sheetData>
    <row r="3" spans="1:4" x14ac:dyDescent="0.3">
      <c r="A3" s="5" t="s">
        <v>222</v>
      </c>
      <c r="B3" s="5" t="s">
        <v>225</v>
      </c>
    </row>
    <row r="4" spans="1:4" x14ac:dyDescent="0.3">
      <c r="A4" s="5" t="s">
        <v>223</v>
      </c>
      <c r="B4" t="s">
        <v>41</v>
      </c>
      <c r="C4" t="s">
        <v>6</v>
      </c>
      <c r="D4" t="s">
        <v>20</v>
      </c>
    </row>
    <row r="5" spans="1:4" x14ac:dyDescent="0.3">
      <c r="A5" s="7" t="s">
        <v>3</v>
      </c>
      <c r="B5" s="12">
        <v>16642.98</v>
      </c>
      <c r="C5" s="12">
        <v>28565.609999999997</v>
      </c>
      <c r="D5" s="12"/>
    </row>
    <row r="6" spans="1:4" x14ac:dyDescent="0.3">
      <c r="A6" s="7" t="s">
        <v>17</v>
      </c>
      <c r="B6" s="12"/>
      <c r="C6" s="12"/>
      <c r="D6" s="12">
        <v>83087.58</v>
      </c>
    </row>
    <row r="7" spans="1:4" x14ac:dyDescent="0.3">
      <c r="A7" s="7" t="s">
        <v>49</v>
      </c>
      <c r="B7" s="12"/>
      <c r="C7" s="12"/>
      <c r="D7" s="12">
        <v>14777.4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F58F-F9F8-4182-8026-4350195082EE}">
  <dimension ref="A3:E23"/>
  <sheetViews>
    <sheetView workbookViewId="0">
      <selection activeCell="P9" sqref="P9"/>
    </sheetView>
  </sheetViews>
  <sheetFormatPr defaultRowHeight="14.4" x14ac:dyDescent="0.3"/>
  <cols>
    <col min="1" max="1" width="15.21875" bestFit="1" customWidth="1"/>
    <col min="2" max="2" width="15.5546875" bestFit="1" customWidth="1"/>
    <col min="3" max="4" width="9" bestFit="1" customWidth="1"/>
    <col min="5" max="5" width="8" bestFit="1" customWidth="1"/>
    <col min="6" max="6" width="10.77734375" bestFit="1" customWidth="1"/>
    <col min="7" max="7" width="5.21875" bestFit="1" customWidth="1"/>
    <col min="8" max="8" width="9.44140625" bestFit="1" customWidth="1"/>
    <col min="9" max="9" width="9" bestFit="1" customWidth="1"/>
    <col min="10" max="10" width="10.21875" bestFit="1" customWidth="1"/>
    <col min="11" max="11" width="6" bestFit="1" customWidth="1"/>
    <col min="12" max="12" width="5.6640625" bestFit="1" customWidth="1"/>
    <col min="13" max="13" width="7.33203125" bestFit="1" customWidth="1"/>
    <col min="14" max="14" width="8.77734375" bestFit="1" customWidth="1"/>
    <col min="15" max="15" width="8.109375" bestFit="1" customWidth="1"/>
    <col min="16" max="16" width="7.21875" bestFit="1" customWidth="1"/>
    <col min="17" max="17" width="6" bestFit="1" customWidth="1"/>
    <col min="18" max="18" width="5.88671875" bestFit="1" customWidth="1"/>
    <col min="19" max="19" width="5.33203125" bestFit="1" customWidth="1"/>
    <col min="20" max="20" width="5.44140625" bestFit="1" customWidth="1"/>
    <col min="21" max="21" width="10.77734375" bestFit="1" customWidth="1"/>
  </cols>
  <sheetData>
    <row r="3" spans="1:5" x14ac:dyDescent="0.3">
      <c r="A3" s="5" t="s">
        <v>222</v>
      </c>
      <c r="B3" s="5" t="s">
        <v>225</v>
      </c>
    </row>
    <row r="4" spans="1:5" x14ac:dyDescent="0.3">
      <c r="A4" s="5" t="s">
        <v>223</v>
      </c>
      <c r="B4" t="s">
        <v>39</v>
      </c>
      <c r="C4" t="s">
        <v>4</v>
      </c>
      <c r="D4" t="s">
        <v>30</v>
      </c>
      <c r="E4" t="s">
        <v>18</v>
      </c>
    </row>
    <row r="5" spans="1:5" x14ac:dyDescent="0.3">
      <c r="A5" s="7" t="s">
        <v>95</v>
      </c>
      <c r="B5" s="12"/>
      <c r="C5" s="12"/>
      <c r="D5" s="12"/>
      <c r="E5" s="12">
        <v>2451</v>
      </c>
    </row>
    <row r="6" spans="1:5" x14ac:dyDescent="0.3">
      <c r="A6" s="7" t="s">
        <v>31</v>
      </c>
      <c r="B6" s="12"/>
      <c r="C6" s="12"/>
      <c r="D6" s="12">
        <v>4296.2</v>
      </c>
      <c r="E6" s="12"/>
    </row>
    <row r="7" spans="1:5" x14ac:dyDescent="0.3">
      <c r="A7" s="7" t="s">
        <v>157</v>
      </c>
      <c r="B7" s="12">
        <v>6499</v>
      </c>
      <c r="C7" s="12"/>
      <c r="D7" s="12"/>
      <c r="E7" s="12"/>
    </row>
    <row r="8" spans="1:5" x14ac:dyDescent="0.3">
      <c r="A8" s="7" t="s">
        <v>50</v>
      </c>
      <c r="B8" s="12"/>
      <c r="C8" s="12">
        <v>1290</v>
      </c>
      <c r="D8" s="12"/>
      <c r="E8" s="12"/>
    </row>
    <row r="9" spans="1:5" x14ac:dyDescent="0.3">
      <c r="A9" s="7" t="s">
        <v>100</v>
      </c>
      <c r="B9" s="12"/>
      <c r="C9" s="12"/>
      <c r="D9" s="12">
        <v>5438.32</v>
      </c>
      <c r="E9" s="12"/>
    </row>
    <row r="10" spans="1:5" x14ac:dyDescent="0.3">
      <c r="A10" s="7" t="s">
        <v>5</v>
      </c>
      <c r="B10" s="12"/>
      <c r="C10" s="12">
        <v>16239.080000000002</v>
      </c>
      <c r="D10" s="12"/>
      <c r="E10" s="12"/>
    </row>
    <row r="11" spans="1:5" x14ac:dyDescent="0.3">
      <c r="A11" s="7" t="s">
        <v>106</v>
      </c>
      <c r="B11" s="12"/>
      <c r="C11" s="12">
        <v>11698.2</v>
      </c>
      <c r="D11" s="12"/>
      <c r="E11" s="12"/>
    </row>
    <row r="12" spans="1:5" x14ac:dyDescent="0.3">
      <c r="A12" s="7" t="s">
        <v>136</v>
      </c>
      <c r="B12" s="12">
        <v>1794</v>
      </c>
      <c r="C12" s="12"/>
      <c r="D12" s="12"/>
      <c r="E12" s="12"/>
    </row>
    <row r="13" spans="1:5" x14ac:dyDescent="0.3">
      <c r="A13" s="7" t="s">
        <v>65</v>
      </c>
      <c r="B13" s="12"/>
      <c r="C13" s="12"/>
      <c r="D13" s="12">
        <v>14719.08</v>
      </c>
      <c r="E13" s="12"/>
    </row>
    <row r="14" spans="1:5" x14ac:dyDescent="0.3">
      <c r="A14" s="7" t="s">
        <v>123</v>
      </c>
      <c r="B14" s="12"/>
      <c r="C14" s="12">
        <v>2268.6</v>
      </c>
      <c r="D14" s="12"/>
      <c r="E14" s="12"/>
    </row>
    <row r="15" spans="1:5" x14ac:dyDescent="0.3">
      <c r="A15" s="7" t="s">
        <v>119</v>
      </c>
      <c r="B15" s="12"/>
      <c r="C15" s="12"/>
      <c r="D15" s="12">
        <v>1396</v>
      </c>
      <c r="E15" s="12"/>
    </row>
    <row r="16" spans="1:5" x14ac:dyDescent="0.3">
      <c r="A16" s="7" t="s">
        <v>40</v>
      </c>
      <c r="B16" s="12">
        <v>6481.4500000000007</v>
      </c>
      <c r="C16" s="12"/>
      <c r="D16" s="12"/>
      <c r="E16" s="12"/>
    </row>
    <row r="17" spans="1:5" x14ac:dyDescent="0.3">
      <c r="A17" s="7" t="s">
        <v>169</v>
      </c>
      <c r="B17" s="12"/>
      <c r="C17" s="12">
        <v>3582</v>
      </c>
      <c r="D17" s="12"/>
      <c r="E17" s="12"/>
    </row>
    <row r="18" spans="1:5" x14ac:dyDescent="0.3">
      <c r="A18" s="7" t="s">
        <v>19</v>
      </c>
      <c r="B18" s="12"/>
      <c r="C18" s="12"/>
      <c r="D18" s="12"/>
      <c r="E18" s="12">
        <v>8721.25</v>
      </c>
    </row>
    <row r="19" spans="1:5" x14ac:dyDescent="0.3">
      <c r="A19" s="7" t="s">
        <v>162</v>
      </c>
      <c r="B19" s="12"/>
      <c r="C19" s="12"/>
      <c r="D19" s="12"/>
      <c r="E19" s="12">
        <v>2694.6</v>
      </c>
    </row>
    <row r="20" spans="1:5" x14ac:dyDescent="0.3">
      <c r="A20" s="7" t="s">
        <v>131</v>
      </c>
      <c r="B20" s="12"/>
      <c r="C20" s="12">
        <v>43997.25</v>
      </c>
      <c r="D20" s="12"/>
      <c r="E20" s="12"/>
    </row>
    <row r="21" spans="1:5" x14ac:dyDescent="0.3">
      <c r="A21" s="7" t="s">
        <v>86</v>
      </c>
      <c r="B21" s="12">
        <v>995</v>
      </c>
      <c r="C21" s="12"/>
      <c r="D21" s="12"/>
      <c r="E21" s="12"/>
    </row>
    <row r="22" spans="1:5" x14ac:dyDescent="0.3">
      <c r="A22" s="7" t="s">
        <v>73</v>
      </c>
      <c r="B22" s="12"/>
      <c r="C22" s="12"/>
      <c r="D22" s="12"/>
      <c r="E22" s="12">
        <v>6732.34</v>
      </c>
    </row>
    <row r="23" spans="1:5" x14ac:dyDescent="0.3">
      <c r="A23" s="7" t="s">
        <v>140</v>
      </c>
      <c r="B23" s="12"/>
      <c r="C23" s="12"/>
      <c r="D23" s="12"/>
      <c r="E23" s="12">
        <v>1780.2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390B-1438-4DD1-8A0B-D62D8FC94A6C}">
  <dimension ref="A3:C8"/>
  <sheetViews>
    <sheetView workbookViewId="0">
      <selection activeCell="N15" sqref="N15"/>
    </sheetView>
  </sheetViews>
  <sheetFormatPr defaultRowHeight="14.4" x14ac:dyDescent="0.3"/>
  <cols>
    <col min="1" max="1" width="14.21875" bestFit="1" customWidth="1"/>
    <col min="2" max="2" width="14.88671875" bestFit="1" customWidth="1"/>
    <col min="3" max="3" width="15.21875" bestFit="1" customWidth="1"/>
  </cols>
  <sheetData>
    <row r="3" spans="1:3" x14ac:dyDescent="0.3">
      <c r="A3" s="5" t="s">
        <v>223</v>
      </c>
      <c r="B3" t="s">
        <v>226</v>
      </c>
      <c r="C3" t="s">
        <v>222</v>
      </c>
    </row>
    <row r="4" spans="1:3" x14ac:dyDescent="0.3">
      <c r="A4" s="7" t="s">
        <v>9</v>
      </c>
      <c r="B4" s="12">
        <v>22</v>
      </c>
      <c r="C4" s="12">
        <v>15881.59</v>
      </c>
    </row>
    <row r="5" spans="1:3" x14ac:dyDescent="0.3">
      <c r="A5" s="7" t="s">
        <v>23</v>
      </c>
      <c r="B5" s="12">
        <v>8</v>
      </c>
      <c r="C5" s="12">
        <v>83087.58</v>
      </c>
    </row>
    <row r="6" spans="1:3" x14ac:dyDescent="0.3">
      <c r="A6" s="7" t="s">
        <v>34</v>
      </c>
      <c r="B6" s="12">
        <v>19</v>
      </c>
      <c r="C6" s="12">
        <v>11689.019999999999</v>
      </c>
    </row>
    <row r="7" spans="1:3" x14ac:dyDescent="0.3">
      <c r="A7" s="7" t="s">
        <v>44</v>
      </c>
      <c r="B7" s="12">
        <v>8</v>
      </c>
      <c r="C7" s="12">
        <v>16642.98</v>
      </c>
    </row>
    <row r="8" spans="1:3" x14ac:dyDescent="0.3">
      <c r="A8" s="7" t="s">
        <v>53</v>
      </c>
      <c r="B8" s="12">
        <v>112</v>
      </c>
      <c r="C8" s="12">
        <v>15772.400000000001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CB541-2AA0-488F-BBAB-70393CEE957A}">
  <dimension ref="A3:B9"/>
  <sheetViews>
    <sheetView workbookViewId="0">
      <selection activeCell="N11" sqref="N11"/>
    </sheetView>
  </sheetViews>
  <sheetFormatPr defaultRowHeight="14.4" x14ac:dyDescent="0.3"/>
  <cols>
    <col min="1" max="1" width="12.5546875" bestFit="1" customWidth="1"/>
    <col min="2" max="2" width="15.21875" bestFit="1" customWidth="1"/>
  </cols>
  <sheetData>
    <row r="3" spans="1:2" x14ac:dyDescent="0.3">
      <c r="A3" s="5" t="s">
        <v>223</v>
      </c>
      <c r="B3" t="s">
        <v>222</v>
      </c>
    </row>
    <row r="4" spans="1:2" x14ac:dyDescent="0.3">
      <c r="A4" s="7" t="s">
        <v>54</v>
      </c>
      <c r="B4" s="12">
        <v>14777.4</v>
      </c>
    </row>
    <row r="5" spans="1:2" x14ac:dyDescent="0.3">
      <c r="A5" s="7" t="s">
        <v>24</v>
      </c>
      <c r="B5" s="12">
        <v>23229.95</v>
      </c>
    </row>
    <row r="6" spans="1:2" x14ac:dyDescent="0.3">
      <c r="A6" s="7" t="s">
        <v>35</v>
      </c>
      <c r="B6" s="12">
        <v>6599.7</v>
      </c>
    </row>
    <row r="7" spans="1:2" x14ac:dyDescent="0.3">
      <c r="A7" s="7" t="s">
        <v>68</v>
      </c>
      <c r="B7" s="12">
        <v>76913.53</v>
      </c>
    </row>
    <row r="8" spans="1:2" x14ac:dyDescent="0.3">
      <c r="A8" s="7" t="s">
        <v>10</v>
      </c>
      <c r="B8" s="12">
        <v>16876.59</v>
      </c>
    </row>
    <row r="9" spans="1:2" x14ac:dyDescent="0.3">
      <c r="A9" s="7" t="s">
        <v>81</v>
      </c>
      <c r="B9" s="12">
        <v>4676.3999999999996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9266-4514-4106-BFB9-EE70F9E8CD80}">
  <dimension ref="A3:C6"/>
  <sheetViews>
    <sheetView workbookViewId="0">
      <selection activeCell="B5" sqref="B5"/>
    </sheetView>
  </sheetViews>
  <sheetFormatPr defaultRowHeight="14.4" x14ac:dyDescent="0.3"/>
  <cols>
    <col min="1" max="1" width="14.88671875" bestFit="1" customWidth="1"/>
    <col min="2" max="2" width="12.6640625" bestFit="1" customWidth="1"/>
    <col min="3" max="3" width="8.77734375" bestFit="1" customWidth="1"/>
    <col min="4" max="4" width="10.77734375" bestFit="1" customWidth="1"/>
  </cols>
  <sheetData>
    <row r="3" spans="1:3" x14ac:dyDescent="0.3">
      <c r="A3" s="5" t="s">
        <v>226</v>
      </c>
      <c r="B3" s="5" t="s">
        <v>218</v>
      </c>
    </row>
    <row r="4" spans="1:3" x14ac:dyDescent="0.3">
      <c r="A4" s="5" t="s">
        <v>227</v>
      </c>
      <c r="B4" t="s">
        <v>229</v>
      </c>
      <c r="C4" t="s">
        <v>228</v>
      </c>
    </row>
    <row r="5" spans="1:3" x14ac:dyDescent="0.3">
      <c r="A5" s="7" t="s">
        <v>186</v>
      </c>
      <c r="B5" s="12">
        <v>1</v>
      </c>
      <c r="C5" s="12"/>
    </row>
    <row r="6" spans="1:3" x14ac:dyDescent="0.3">
      <c r="A6" s="7" t="s">
        <v>11</v>
      </c>
      <c r="B6" s="12">
        <v>165</v>
      </c>
      <c r="C6" s="12">
        <v>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A21C-6ED0-421C-B728-15ACD401887D}">
  <dimension ref="A1:Y38"/>
  <sheetViews>
    <sheetView workbookViewId="0">
      <selection activeCell="K12" sqref="K12"/>
    </sheetView>
  </sheetViews>
  <sheetFormatPr defaultRowHeight="14.4" x14ac:dyDescent="0.3"/>
  <cols>
    <col min="1" max="1" width="10.109375" bestFit="1" customWidth="1"/>
    <col min="2" max="3" width="12.33203125" bestFit="1" customWidth="1"/>
    <col min="4" max="4" width="13.33203125" bestFit="1" customWidth="1"/>
    <col min="5" max="5" width="16.5546875" bestFit="1" customWidth="1"/>
    <col min="6" max="6" width="18.88671875" bestFit="1" customWidth="1"/>
    <col min="7" max="7" width="8.33203125" bestFit="1" customWidth="1"/>
    <col min="8" max="8" width="12" bestFit="1" customWidth="1"/>
    <col min="9" max="9" width="11.21875" bestFit="1" customWidth="1"/>
    <col min="10" max="10" width="12" bestFit="1" customWidth="1"/>
    <col min="11" max="11" width="15.109375" bestFit="1" customWidth="1"/>
    <col min="12" max="12" width="14.21875" bestFit="1" customWidth="1"/>
    <col min="13" max="13" width="9.88671875" bestFit="1" customWidth="1"/>
    <col min="14" max="14" width="11.33203125" bestFit="1" customWidth="1"/>
    <col min="15" max="15" width="13.6640625" bestFit="1" customWidth="1"/>
    <col min="16" max="16" width="12.44140625" bestFit="1" customWidth="1"/>
    <col min="17" max="17" width="10.88671875" bestFit="1" customWidth="1"/>
    <col min="18" max="18" width="14.44140625" bestFit="1" customWidth="1"/>
    <col min="19" max="19" width="14.21875" bestFit="1" customWidth="1"/>
    <col min="20" max="20" width="17.77734375" bestFit="1" customWidth="1"/>
    <col min="21" max="21" width="13.5546875" bestFit="1" customWidth="1"/>
    <col min="22" max="22" width="12.21875" bestFit="1" customWidth="1"/>
    <col min="23" max="23" width="14.77734375" bestFit="1" customWidth="1"/>
    <col min="24" max="24" width="10.88671875" bestFit="1" customWidth="1"/>
    <col min="25" max="25" width="9.88671875" bestFit="1" customWidth="1"/>
  </cols>
  <sheetData>
    <row r="1" spans="1:25" x14ac:dyDescent="0.3">
      <c r="A1" s="8" t="s">
        <v>204</v>
      </c>
      <c r="B1" s="8" t="s">
        <v>205</v>
      </c>
      <c r="C1" s="8" t="s">
        <v>206</v>
      </c>
      <c r="D1" s="8" t="s">
        <v>207</v>
      </c>
      <c r="E1" s="8" t="s">
        <v>208</v>
      </c>
      <c r="F1" s="8" t="s">
        <v>209</v>
      </c>
      <c r="G1" s="8" t="s">
        <v>210</v>
      </c>
      <c r="H1" s="8" t="s">
        <v>211</v>
      </c>
      <c r="I1" s="8" t="s">
        <v>212</v>
      </c>
      <c r="J1" s="8" t="s">
        <v>213</v>
      </c>
      <c r="K1" s="8" t="s">
        <v>214</v>
      </c>
      <c r="L1" s="8" t="s">
        <v>215</v>
      </c>
      <c r="M1" s="9" t="s">
        <v>197</v>
      </c>
      <c r="N1" s="9" t="s">
        <v>198</v>
      </c>
      <c r="O1" s="9" t="s">
        <v>199</v>
      </c>
      <c r="P1" s="9" t="s">
        <v>200</v>
      </c>
      <c r="Q1" s="9" t="s">
        <v>201</v>
      </c>
      <c r="R1" s="9" t="s">
        <v>202</v>
      </c>
      <c r="S1" s="9" t="s">
        <v>203</v>
      </c>
      <c r="T1" s="8" t="s">
        <v>216</v>
      </c>
      <c r="U1" s="8" t="s">
        <v>217</v>
      </c>
      <c r="V1" s="8" t="s">
        <v>218</v>
      </c>
      <c r="W1" s="8" t="s">
        <v>219</v>
      </c>
      <c r="X1" s="8" t="s">
        <v>220</v>
      </c>
      <c r="Y1" s="8" t="s">
        <v>221</v>
      </c>
    </row>
    <row r="2" spans="1:25" x14ac:dyDescent="0.3">
      <c r="A2" t="s">
        <v>0</v>
      </c>
      <c r="B2" s="1">
        <v>46174</v>
      </c>
      <c r="C2" s="2">
        <v>0.38346064814814818</v>
      </c>
      <c r="D2" t="s">
        <v>1</v>
      </c>
      <c r="E2" t="s">
        <v>2</v>
      </c>
      <c r="F2" t="s">
        <v>3</v>
      </c>
      <c r="G2" t="s">
        <v>4</v>
      </c>
      <c r="H2" t="s">
        <v>5</v>
      </c>
      <c r="I2" t="s">
        <v>6</v>
      </c>
      <c r="J2" t="s">
        <v>7</v>
      </c>
      <c r="K2" t="s">
        <v>8</v>
      </c>
      <c r="L2" t="s">
        <v>9</v>
      </c>
      <c r="M2" s="3">
        <v>2</v>
      </c>
      <c r="N2" s="3">
        <v>799</v>
      </c>
      <c r="O2" s="4">
        <v>0.1</v>
      </c>
      <c r="P2" s="3">
        <v>1598</v>
      </c>
      <c r="Q2" s="3">
        <v>1438.2</v>
      </c>
      <c r="R2" s="3">
        <v>520</v>
      </c>
      <c r="S2" s="3">
        <v>60</v>
      </c>
      <c r="T2" t="s">
        <v>10</v>
      </c>
      <c r="U2" t="s">
        <v>11</v>
      </c>
      <c r="V2" t="s">
        <v>12</v>
      </c>
      <c r="W2" t="s">
        <v>194</v>
      </c>
      <c r="X2" t="s">
        <v>13</v>
      </c>
      <c r="Y2" t="s">
        <v>193</v>
      </c>
    </row>
    <row r="3" spans="1:25" x14ac:dyDescent="0.3">
      <c r="A3" t="s">
        <v>27</v>
      </c>
      <c r="B3" s="1">
        <v>46174</v>
      </c>
      <c r="C3" s="2">
        <v>0.47718749999999999</v>
      </c>
      <c r="D3" t="s">
        <v>28</v>
      </c>
      <c r="E3" t="s">
        <v>29</v>
      </c>
      <c r="F3" t="s">
        <v>3</v>
      </c>
      <c r="G3" t="s">
        <v>30</v>
      </c>
      <c r="H3" t="s">
        <v>31</v>
      </c>
      <c r="I3" t="s">
        <v>6</v>
      </c>
      <c r="J3" t="s">
        <v>32</v>
      </c>
      <c r="K3" t="s">
        <v>33</v>
      </c>
      <c r="L3" t="s">
        <v>34</v>
      </c>
      <c r="M3" s="3">
        <v>3</v>
      </c>
      <c r="N3" s="3">
        <v>499</v>
      </c>
      <c r="O3" s="4">
        <v>0</v>
      </c>
      <c r="P3" s="3">
        <v>1497</v>
      </c>
      <c r="Q3" s="3">
        <v>1497</v>
      </c>
      <c r="R3" s="3">
        <v>180</v>
      </c>
      <c r="S3" s="3">
        <v>75</v>
      </c>
      <c r="T3" t="s">
        <v>35</v>
      </c>
      <c r="U3" t="s">
        <v>11</v>
      </c>
      <c r="V3" t="s">
        <v>12</v>
      </c>
      <c r="W3" t="s">
        <v>194</v>
      </c>
      <c r="X3" t="s">
        <v>13</v>
      </c>
      <c r="Y3" t="s">
        <v>193</v>
      </c>
    </row>
    <row r="4" spans="1:25" x14ac:dyDescent="0.3">
      <c r="A4" t="s">
        <v>14</v>
      </c>
      <c r="B4" s="1">
        <v>46174</v>
      </c>
      <c r="C4" s="2">
        <v>0.41927083333333331</v>
      </c>
      <c r="D4" t="s">
        <v>15</v>
      </c>
      <c r="E4" t="s">
        <v>16</v>
      </c>
      <c r="F4" t="s">
        <v>17</v>
      </c>
      <c r="G4" t="s">
        <v>18</v>
      </c>
      <c r="H4" t="s">
        <v>19</v>
      </c>
      <c r="I4" t="s">
        <v>20</v>
      </c>
      <c r="J4" t="s">
        <v>21</v>
      </c>
      <c r="K4" t="s">
        <v>22</v>
      </c>
      <c r="L4" t="s">
        <v>23</v>
      </c>
      <c r="M4" s="3">
        <v>1</v>
      </c>
      <c r="N4" s="3">
        <v>6499</v>
      </c>
      <c r="O4" s="4">
        <v>0.05</v>
      </c>
      <c r="P4" s="3">
        <v>6499</v>
      </c>
      <c r="Q4" s="3">
        <v>6174.05</v>
      </c>
      <c r="R4" s="3">
        <v>4200</v>
      </c>
      <c r="S4" s="3">
        <v>0</v>
      </c>
      <c r="T4" t="s">
        <v>24</v>
      </c>
      <c r="U4" t="s">
        <v>11</v>
      </c>
      <c r="V4" t="s">
        <v>12</v>
      </c>
      <c r="W4" t="s">
        <v>194</v>
      </c>
      <c r="X4" t="s">
        <v>25</v>
      </c>
      <c r="Y4" t="s">
        <v>26</v>
      </c>
    </row>
    <row r="5" spans="1:25" x14ac:dyDescent="0.3">
      <c r="A5" t="s">
        <v>46</v>
      </c>
      <c r="B5" s="1">
        <v>46174</v>
      </c>
      <c r="C5" s="2">
        <v>0.59608796296296296</v>
      </c>
      <c r="D5" t="s">
        <v>47</v>
      </c>
      <c r="E5" t="s">
        <v>48</v>
      </c>
      <c r="F5" t="s">
        <v>49</v>
      </c>
      <c r="G5" t="s">
        <v>4</v>
      </c>
      <c r="H5" t="s">
        <v>50</v>
      </c>
      <c r="I5" t="s">
        <v>20</v>
      </c>
      <c r="J5" t="s">
        <v>51</v>
      </c>
      <c r="K5" t="s">
        <v>52</v>
      </c>
      <c r="L5" t="s">
        <v>53</v>
      </c>
      <c r="M5" s="3">
        <v>10</v>
      </c>
      <c r="N5" s="3">
        <v>129</v>
      </c>
      <c r="O5" s="4">
        <v>0</v>
      </c>
      <c r="P5" s="3">
        <v>1290</v>
      </c>
      <c r="Q5" s="3">
        <v>1290</v>
      </c>
      <c r="R5" s="3">
        <v>70</v>
      </c>
      <c r="S5" s="3">
        <v>0</v>
      </c>
      <c r="T5" t="s">
        <v>54</v>
      </c>
      <c r="U5" t="s">
        <v>11</v>
      </c>
      <c r="V5" t="s">
        <v>12</v>
      </c>
      <c r="W5" t="s">
        <v>194</v>
      </c>
      <c r="X5" t="s">
        <v>55</v>
      </c>
      <c r="Y5" t="s">
        <v>56</v>
      </c>
    </row>
    <row r="6" spans="1:25" x14ac:dyDescent="0.3">
      <c r="A6" t="s">
        <v>36</v>
      </c>
      <c r="B6" s="1">
        <v>46174</v>
      </c>
      <c r="C6" s="2">
        <v>0.53114583333333332</v>
      </c>
      <c r="D6" t="s">
        <v>37</v>
      </c>
      <c r="E6" t="s">
        <v>38</v>
      </c>
      <c r="F6" t="s">
        <v>3</v>
      </c>
      <c r="G6" t="s">
        <v>39</v>
      </c>
      <c r="H6" t="s">
        <v>40</v>
      </c>
      <c r="I6" t="s">
        <v>41</v>
      </c>
      <c r="J6" t="s">
        <v>42</v>
      </c>
      <c r="K6" t="s">
        <v>43</v>
      </c>
      <c r="L6" t="s">
        <v>44</v>
      </c>
      <c r="M6" s="3">
        <v>1</v>
      </c>
      <c r="N6" s="3">
        <v>3499</v>
      </c>
      <c r="O6" s="4">
        <v>0.15</v>
      </c>
      <c r="P6" s="3">
        <v>3499</v>
      </c>
      <c r="Q6" s="3">
        <v>2974.15</v>
      </c>
      <c r="R6" s="3">
        <v>2200</v>
      </c>
      <c r="S6" s="3">
        <v>120</v>
      </c>
      <c r="T6" t="s">
        <v>24</v>
      </c>
      <c r="U6" t="s">
        <v>11</v>
      </c>
      <c r="V6" t="s">
        <v>12</v>
      </c>
      <c r="W6" t="s">
        <v>194</v>
      </c>
      <c r="X6" t="s">
        <v>45</v>
      </c>
      <c r="Y6" t="s">
        <v>193</v>
      </c>
    </row>
    <row r="7" spans="1:25" x14ac:dyDescent="0.3">
      <c r="A7" t="s">
        <v>57</v>
      </c>
      <c r="B7" s="1">
        <v>46175</v>
      </c>
      <c r="C7" s="2">
        <v>0.37863425925925925</v>
      </c>
      <c r="D7" t="s">
        <v>58</v>
      </c>
      <c r="E7" t="s">
        <v>59</v>
      </c>
      <c r="F7" t="s">
        <v>3</v>
      </c>
      <c r="G7" t="s">
        <v>4</v>
      </c>
      <c r="H7" t="s">
        <v>5</v>
      </c>
      <c r="I7" t="s">
        <v>6</v>
      </c>
      <c r="J7" t="s">
        <v>60</v>
      </c>
      <c r="K7" t="s">
        <v>61</v>
      </c>
      <c r="L7" t="s">
        <v>9</v>
      </c>
      <c r="M7" s="3">
        <v>4</v>
      </c>
      <c r="N7" s="3">
        <v>299</v>
      </c>
      <c r="O7" s="4">
        <v>0.2</v>
      </c>
      <c r="P7" s="3">
        <v>1196</v>
      </c>
      <c r="Q7" s="3">
        <v>956.8</v>
      </c>
      <c r="R7" s="3">
        <v>120</v>
      </c>
      <c r="S7" s="3">
        <v>50</v>
      </c>
      <c r="T7" t="s">
        <v>10</v>
      </c>
      <c r="U7" t="s">
        <v>11</v>
      </c>
      <c r="V7" t="s">
        <v>12</v>
      </c>
      <c r="W7" t="s">
        <v>194</v>
      </c>
      <c r="X7" t="s">
        <v>13</v>
      </c>
      <c r="Y7" t="s">
        <v>193</v>
      </c>
    </row>
    <row r="8" spans="1:25" x14ac:dyDescent="0.3">
      <c r="A8" t="s">
        <v>84</v>
      </c>
      <c r="B8" s="1">
        <v>46175</v>
      </c>
      <c r="C8" s="2">
        <v>0.69475694444444447</v>
      </c>
      <c r="D8" t="s">
        <v>192</v>
      </c>
      <c r="E8" t="s">
        <v>85</v>
      </c>
      <c r="F8" t="s">
        <v>3</v>
      </c>
      <c r="G8" t="s">
        <v>39</v>
      </c>
      <c r="H8" t="s">
        <v>86</v>
      </c>
      <c r="I8" t="s">
        <v>6</v>
      </c>
      <c r="J8" t="s">
        <v>87</v>
      </c>
      <c r="K8" t="s">
        <v>88</v>
      </c>
      <c r="L8" t="s">
        <v>53</v>
      </c>
      <c r="M8" s="3">
        <v>5</v>
      </c>
      <c r="N8" s="3">
        <v>199</v>
      </c>
      <c r="O8" s="4">
        <v>0</v>
      </c>
      <c r="P8" s="3">
        <v>995</v>
      </c>
      <c r="Q8" s="3">
        <v>995</v>
      </c>
      <c r="R8" s="3">
        <v>80</v>
      </c>
      <c r="S8" s="3">
        <v>55</v>
      </c>
      <c r="T8" t="s">
        <v>10</v>
      </c>
      <c r="U8" t="s">
        <v>11</v>
      </c>
      <c r="V8" t="s">
        <v>12</v>
      </c>
      <c r="W8" t="s">
        <v>194</v>
      </c>
      <c r="X8" t="s">
        <v>13</v>
      </c>
      <c r="Y8" t="s">
        <v>193</v>
      </c>
    </row>
    <row r="9" spans="1:25" x14ac:dyDescent="0.3">
      <c r="A9" t="s">
        <v>62</v>
      </c>
      <c r="B9" s="1">
        <v>46175</v>
      </c>
      <c r="C9" s="2">
        <v>0.45591435185185186</v>
      </c>
      <c r="D9" t="s">
        <v>63</v>
      </c>
      <c r="E9" t="s">
        <v>64</v>
      </c>
      <c r="F9" t="s">
        <v>17</v>
      </c>
      <c r="G9" t="s">
        <v>30</v>
      </c>
      <c r="H9" t="s">
        <v>65</v>
      </c>
      <c r="I9" t="s">
        <v>20</v>
      </c>
      <c r="J9" t="s">
        <v>66</v>
      </c>
      <c r="K9" t="s">
        <v>67</v>
      </c>
      <c r="L9" t="s">
        <v>23</v>
      </c>
      <c r="M9" s="3">
        <v>1</v>
      </c>
      <c r="N9" s="3">
        <v>15999</v>
      </c>
      <c r="O9" s="4">
        <v>0.08</v>
      </c>
      <c r="P9" s="3">
        <v>15999</v>
      </c>
      <c r="Q9" s="3">
        <v>14719.08</v>
      </c>
      <c r="R9" s="3">
        <v>10500</v>
      </c>
      <c r="S9" s="3">
        <v>0</v>
      </c>
      <c r="T9" t="s">
        <v>68</v>
      </c>
      <c r="U9" t="s">
        <v>11</v>
      </c>
      <c r="V9" t="s">
        <v>12</v>
      </c>
      <c r="W9" t="s">
        <v>194</v>
      </c>
      <c r="X9" t="s">
        <v>25</v>
      </c>
      <c r="Y9" t="s">
        <v>69</v>
      </c>
    </row>
    <row r="10" spans="1:25" x14ac:dyDescent="0.3">
      <c r="A10" t="s">
        <v>76</v>
      </c>
      <c r="B10" s="1">
        <v>46175</v>
      </c>
      <c r="C10" s="2">
        <v>0.63267361111111109</v>
      </c>
      <c r="D10" t="s">
        <v>77</v>
      </c>
      <c r="E10" t="s">
        <v>78</v>
      </c>
      <c r="F10" t="s">
        <v>3</v>
      </c>
      <c r="G10" t="s">
        <v>4</v>
      </c>
      <c r="H10" t="s">
        <v>5</v>
      </c>
      <c r="I10" t="s">
        <v>41</v>
      </c>
      <c r="J10" t="s">
        <v>79</v>
      </c>
      <c r="K10" t="s">
        <v>80</v>
      </c>
      <c r="L10" t="s">
        <v>44</v>
      </c>
      <c r="M10" s="3">
        <v>1</v>
      </c>
      <c r="N10" s="3">
        <v>1299</v>
      </c>
      <c r="O10" s="4">
        <v>0.1</v>
      </c>
      <c r="P10" s="3">
        <v>1299</v>
      </c>
      <c r="Q10" s="3">
        <v>1169.0999999999999</v>
      </c>
      <c r="R10" s="3">
        <v>650</v>
      </c>
      <c r="S10" s="3">
        <v>90</v>
      </c>
      <c r="T10" t="s">
        <v>81</v>
      </c>
      <c r="U10" t="s">
        <v>11</v>
      </c>
      <c r="V10" t="s">
        <v>82</v>
      </c>
      <c r="W10" t="s">
        <v>83</v>
      </c>
      <c r="X10" t="s">
        <v>55</v>
      </c>
      <c r="Y10" t="s">
        <v>193</v>
      </c>
    </row>
    <row r="11" spans="1:25" x14ac:dyDescent="0.3">
      <c r="A11" t="s">
        <v>70</v>
      </c>
      <c r="B11" s="1">
        <v>46175</v>
      </c>
      <c r="C11" s="2">
        <v>0.51444444444444448</v>
      </c>
      <c r="D11" t="s">
        <v>71</v>
      </c>
      <c r="E11" t="s">
        <v>72</v>
      </c>
      <c r="F11" t="s">
        <v>3</v>
      </c>
      <c r="G11" t="s">
        <v>18</v>
      </c>
      <c r="H11" t="s">
        <v>73</v>
      </c>
      <c r="I11" t="s">
        <v>6</v>
      </c>
      <c r="J11" t="s">
        <v>74</v>
      </c>
      <c r="K11" t="s">
        <v>75</v>
      </c>
      <c r="L11" t="s">
        <v>34</v>
      </c>
      <c r="M11" s="3">
        <v>2</v>
      </c>
      <c r="N11" s="3">
        <v>349</v>
      </c>
      <c r="O11" s="4">
        <v>0.05</v>
      </c>
      <c r="P11" s="3">
        <v>698</v>
      </c>
      <c r="Q11" s="3">
        <v>663.1</v>
      </c>
      <c r="R11" s="3">
        <v>140</v>
      </c>
      <c r="S11" s="3">
        <v>65</v>
      </c>
      <c r="T11" t="s">
        <v>35</v>
      </c>
      <c r="U11" t="s">
        <v>11</v>
      </c>
      <c r="V11" t="s">
        <v>12</v>
      </c>
      <c r="W11" t="s">
        <v>194</v>
      </c>
      <c r="X11" t="s">
        <v>45</v>
      </c>
      <c r="Y11" t="s">
        <v>193</v>
      </c>
    </row>
    <row r="12" spans="1:25" x14ac:dyDescent="0.3">
      <c r="A12" t="s">
        <v>89</v>
      </c>
      <c r="B12" s="1">
        <v>46176</v>
      </c>
      <c r="C12" s="2">
        <v>0.37409722222222225</v>
      </c>
      <c r="D12" t="s">
        <v>90</v>
      </c>
      <c r="E12" t="s">
        <v>91</v>
      </c>
      <c r="F12" t="s">
        <v>3</v>
      </c>
      <c r="G12" t="s">
        <v>4</v>
      </c>
      <c r="H12" t="s">
        <v>5</v>
      </c>
      <c r="I12" t="s">
        <v>6</v>
      </c>
      <c r="J12" t="s">
        <v>7</v>
      </c>
      <c r="K12" t="s">
        <v>8</v>
      </c>
      <c r="L12" t="s">
        <v>9</v>
      </c>
      <c r="M12" s="3">
        <v>1</v>
      </c>
      <c r="N12" s="3">
        <v>799</v>
      </c>
      <c r="O12" s="4">
        <v>0</v>
      </c>
      <c r="P12" s="3">
        <v>799</v>
      </c>
      <c r="Q12" s="3">
        <v>799</v>
      </c>
      <c r="R12" s="3">
        <v>520</v>
      </c>
      <c r="S12" s="3">
        <v>60</v>
      </c>
      <c r="T12" t="s">
        <v>10</v>
      </c>
      <c r="U12" t="s">
        <v>11</v>
      </c>
      <c r="V12" t="s">
        <v>12</v>
      </c>
      <c r="W12" t="s">
        <v>194</v>
      </c>
      <c r="X12" t="s">
        <v>13</v>
      </c>
      <c r="Y12" t="s">
        <v>193</v>
      </c>
    </row>
    <row r="13" spans="1:25" x14ac:dyDescent="0.3">
      <c r="A13" t="s">
        <v>103</v>
      </c>
      <c r="B13" s="1">
        <v>46176</v>
      </c>
      <c r="C13" s="2">
        <v>0.55702546296296296</v>
      </c>
      <c r="D13" t="s">
        <v>104</v>
      </c>
      <c r="E13" t="s">
        <v>105</v>
      </c>
      <c r="F13" t="s">
        <v>17</v>
      </c>
      <c r="G13" t="s">
        <v>4</v>
      </c>
      <c r="H13" t="s">
        <v>106</v>
      </c>
      <c r="I13" t="s">
        <v>20</v>
      </c>
      <c r="J13" t="s">
        <v>21</v>
      </c>
      <c r="K13" t="s">
        <v>22</v>
      </c>
      <c r="L13" t="s">
        <v>23</v>
      </c>
      <c r="M13" s="3">
        <v>2</v>
      </c>
      <c r="N13" s="3">
        <v>6499</v>
      </c>
      <c r="O13" s="4">
        <v>0.1</v>
      </c>
      <c r="P13" s="3">
        <v>12998</v>
      </c>
      <c r="Q13" s="3">
        <v>11698.2</v>
      </c>
      <c r="R13" s="3">
        <v>4200</v>
      </c>
      <c r="S13" s="3">
        <v>0</v>
      </c>
      <c r="T13" t="s">
        <v>68</v>
      </c>
      <c r="U13" t="s">
        <v>11</v>
      </c>
      <c r="V13" t="s">
        <v>12</v>
      </c>
      <c r="W13" t="s">
        <v>194</v>
      </c>
      <c r="X13" t="s">
        <v>25</v>
      </c>
      <c r="Y13" t="s">
        <v>107</v>
      </c>
    </row>
    <row r="14" spans="1:25" x14ac:dyDescent="0.3">
      <c r="A14" t="s">
        <v>92</v>
      </c>
      <c r="B14" s="1">
        <v>46176</v>
      </c>
      <c r="C14" s="2">
        <v>0.42707175925925928</v>
      </c>
      <c r="D14" t="s">
        <v>93</v>
      </c>
      <c r="E14" t="s">
        <v>94</v>
      </c>
      <c r="F14" t="s">
        <v>49</v>
      </c>
      <c r="G14" t="s">
        <v>18</v>
      </c>
      <c r="H14" t="s">
        <v>95</v>
      </c>
      <c r="I14" t="s">
        <v>20</v>
      </c>
      <c r="J14" t="s">
        <v>51</v>
      </c>
      <c r="K14" t="s">
        <v>52</v>
      </c>
      <c r="L14" t="s">
        <v>53</v>
      </c>
      <c r="M14" s="3">
        <v>20</v>
      </c>
      <c r="N14" s="3">
        <v>129</v>
      </c>
      <c r="O14" s="4">
        <v>0.05</v>
      </c>
      <c r="P14" s="3">
        <v>2580</v>
      </c>
      <c r="Q14" s="3">
        <v>2451</v>
      </c>
      <c r="R14" s="3">
        <v>70</v>
      </c>
      <c r="S14" s="3">
        <v>0</v>
      </c>
      <c r="T14" t="s">
        <v>54</v>
      </c>
      <c r="U14" t="s">
        <v>11</v>
      </c>
      <c r="V14" t="s">
        <v>12</v>
      </c>
      <c r="W14" t="s">
        <v>194</v>
      </c>
      <c r="X14" t="s">
        <v>55</v>
      </c>
      <c r="Y14" t="s">
        <v>96</v>
      </c>
    </row>
    <row r="15" spans="1:25" x14ac:dyDescent="0.3">
      <c r="A15" t="s">
        <v>108</v>
      </c>
      <c r="B15" s="1">
        <v>46176</v>
      </c>
      <c r="C15" s="2">
        <v>0.71218749999999997</v>
      </c>
      <c r="D15" t="s">
        <v>109</v>
      </c>
      <c r="E15" t="s">
        <v>110</v>
      </c>
      <c r="F15" t="s">
        <v>3</v>
      </c>
      <c r="G15" t="s">
        <v>30</v>
      </c>
      <c r="H15" t="s">
        <v>31</v>
      </c>
      <c r="I15" t="s">
        <v>41</v>
      </c>
      <c r="J15" t="s">
        <v>42</v>
      </c>
      <c r="K15" t="s">
        <v>43</v>
      </c>
      <c r="L15" t="s">
        <v>44</v>
      </c>
      <c r="M15" s="3">
        <v>1</v>
      </c>
      <c r="N15" s="3">
        <v>3499</v>
      </c>
      <c r="O15" s="4">
        <v>0.2</v>
      </c>
      <c r="P15" s="3">
        <v>3499</v>
      </c>
      <c r="Q15" s="3">
        <v>2799.2</v>
      </c>
      <c r="R15" s="3">
        <v>2200</v>
      </c>
      <c r="S15" s="3">
        <v>120</v>
      </c>
      <c r="T15" t="s">
        <v>24</v>
      </c>
      <c r="U15" t="s">
        <v>11</v>
      </c>
      <c r="V15" t="s">
        <v>82</v>
      </c>
      <c r="W15" t="s">
        <v>195</v>
      </c>
      <c r="X15" t="s">
        <v>55</v>
      </c>
      <c r="Y15" t="s">
        <v>193</v>
      </c>
    </row>
    <row r="16" spans="1:25" x14ac:dyDescent="0.3">
      <c r="A16" t="s">
        <v>97</v>
      </c>
      <c r="B16" s="1">
        <v>46176</v>
      </c>
      <c r="C16" s="2">
        <v>0.49254629629629632</v>
      </c>
      <c r="D16" t="s">
        <v>98</v>
      </c>
      <c r="E16" t="s">
        <v>99</v>
      </c>
      <c r="F16" t="s">
        <v>3</v>
      </c>
      <c r="G16" t="s">
        <v>30</v>
      </c>
      <c r="H16" t="s">
        <v>100</v>
      </c>
      <c r="I16" t="s">
        <v>6</v>
      </c>
      <c r="J16" t="s">
        <v>101</v>
      </c>
      <c r="K16" t="s">
        <v>102</v>
      </c>
      <c r="L16" t="s">
        <v>34</v>
      </c>
      <c r="M16" s="3">
        <v>1</v>
      </c>
      <c r="N16" s="3">
        <v>1899</v>
      </c>
      <c r="O16" s="4">
        <v>0.12</v>
      </c>
      <c r="P16" s="3">
        <v>1899</v>
      </c>
      <c r="Q16" s="3">
        <v>1671.12</v>
      </c>
      <c r="R16" s="3">
        <v>980</v>
      </c>
      <c r="S16" s="3">
        <v>85</v>
      </c>
      <c r="T16" t="s">
        <v>24</v>
      </c>
      <c r="U16" t="s">
        <v>11</v>
      </c>
      <c r="V16" t="s">
        <v>12</v>
      </c>
      <c r="W16" t="s">
        <v>194</v>
      </c>
      <c r="X16" t="s">
        <v>45</v>
      </c>
      <c r="Y16" t="s">
        <v>193</v>
      </c>
    </row>
    <row r="17" spans="1:25" x14ac:dyDescent="0.3">
      <c r="A17" t="s">
        <v>111</v>
      </c>
      <c r="B17" s="1">
        <v>46177</v>
      </c>
      <c r="C17" s="2">
        <v>0.40410879629629631</v>
      </c>
      <c r="D17" t="s">
        <v>112</v>
      </c>
      <c r="E17" t="s">
        <v>113</v>
      </c>
      <c r="F17" t="s">
        <v>3</v>
      </c>
      <c r="G17" t="s">
        <v>18</v>
      </c>
      <c r="H17" t="s">
        <v>19</v>
      </c>
      <c r="I17" t="s">
        <v>6</v>
      </c>
      <c r="J17" t="s">
        <v>114</v>
      </c>
      <c r="K17" t="s">
        <v>115</v>
      </c>
      <c r="L17" t="s">
        <v>9</v>
      </c>
      <c r="M17" s="3">
        <v>1</v>
      </c>
      <c r="N17" s="3">
        <v>2199</v>
      </c>
      <c r="O17" s="4">
        <v>0.1</v>
      </c>
      <c r="P17" s="3">
        <v>2199</v>
      </c>
      <c r="Q17" s="3">
        <v>1979.1</v>
      </c>
      <c r="R17" s="3">
        <v>1400</v>
      </c>
      <c r="S17" s="3">
        <v>70</v>
      </c>
      <c r="T17" t="s">
        <v>10</v>
      </c>
      <c r="U17" t="s">
        <v>11</v>
      </c>
      <c r="V17" t="s">
        <v>12</v>
      </c>
      <c r="W17" t="s">
        <v>194</v>
      </c>
      <c r="X17" t="s">
        <v>13</v>
      </c>
      <c r="Y17" t="s">
        <v>193</v>
      </c>
    </row>
    <row r="18" spans="1:25" x14ac:dyDescent="0.3">
      <c r="A18" t="s">
        <v>128</v>
      </c>
      <c r="B18" s="1">
        <v>46177</v>
      </c>
      <c r="C18" s="2">
        <v>0.68981481481481477</v>
      </c>
      <c r="D18" t="s">
        <v>129</v>
      </c>
      <c r="E18" t="s">
        <v>130</v>
      </c>
      <c r="F18" t="s">
        <v>17</v>
      </c>
      <c r="G18" t="s">
        <v>4</v>
      </c>
      <c r="H18" t="s">
        <v>131</v>
      </c>
      <c r="I18" t="s">
        <v>20</v>
      </c>
      <c r="J18" t="s">
        <v>66</v>
      </c>
      <c r="K18" t="s">
        <v>67</v>
      </c>
      <c r="L18" t="s">
        <v>23</v>
      </c>
      <c r="M18" s="3">
        <v>1</v>
      </c>
      <c r="N18" s="3">
        <v>15999</v>
      </c>
      <c r="O18" s="4">
        <v>0.05</v>
      </c>
      <c r="P18" s="3">
        <v>15999</v>
      </c>
      <c r="Q18" s="3">
        <v>15199.05</v>
      </c>
      <c r="R18" s="3">
        <v>10500</v>
      </c>
      <c r="S18" s="3">
        <v>0</v>
      </c>
      <c r="T18" t="s">
        <v>68</v>
      </c>
      <c r="U18" t="s">
        <v>11</v>
      </c>
      <c r="V18" t="s">
        <v>12</v>
      </c>
      <c r="W18" t="s">
        <v>194</v>
      </c>
      <c r="X18" t="s">
        <v>25</v>
      </c>
      <c r="Y18" t="s">
        <v>132</v>
      </c>
    </row>
    <row r="19" spans="1:25" x14ac:dyDescent="0.3">
      <c r="A19" t="s">
        <v>120</v>
      </c>
      <c r="B19" s="1">
        <v>46177</v>
      </c>
      <c r="C19" s="2">
        <v>0.53833333333333333</v>
      </c>
      <c r="D19" t="s">
        <v>121</v>
      </c>
      <c r="E19" t="s">
        <v>122</v>
      </c>
      <c r="F19" t="s">
        <v>49</v>
      </c>
      <c r="G19" t="s">
        <v>4</v>
      </c>
      <c r="H19" t="s">
        <v>123</v>
      </c>
      <c r="I19" t="s">
        <v>20</v>
      </c>
      <c r="J19" t="s">
        <v>87</v>
      </c>
      <c r="K19" t="s">
        <v>88</v>
      </c>
      <c r="L19" t="s">
        <v>53</v>
      </c>
      <c r="M19" s="3">
        <v>12</v>
      </c>
      <c r="N19" s="3">
        <v>199</v>
      </c>
      <c r="O19" s="4">
        <v>0.05</v>
      </c>
      <c r="P19" s="3">
        <v>2388</v>
      </c>
      <c r="Q19" s="3">
        <v>2268.6</v>
      </c>
      <c r="R19" s="3">
        <v>80</v>
      </c>
      <c r="S19" s="3">
        <v>0</v>
      </c>
      <c r="T19" t="s">
        <v>54</v>
      </c>
      <c r="U19" t="s">
        <v>11</v>
      </c>
      <c r="V19" t="s">
        <v>12</v>
      </c>
      <c r="W19" t="s">
        <v>194</v>
      </c>
      <c r="X19" t="s">
        <v>55</v>
      </c>
      <c r="Y19" t="s">
        <v>124</v>
      </c>
    </row>
    <row r="20" spans="1:25" x14ac:dyDescent="0.3">
      <c r="A20" t="s">
        <v>125</v>
      </c>
      <c r="B20" s="1">
        <v>46177</v>
      </c>
      <c r="C20" s="2">
        <v>0.59570601851851857</v>
      </c>
      <c r="D20" t="s">
        <v>126</v>
      </c>
      <c r="E20" t="s">
        <v>127</v>
      </c>
      <c r="F20" t="s">
        <v>3</v>
      </c>
      <c r="G20" t="s">
        <v>39</v>
      </c>
      <c r="H20" t="s">
        <v>40</v>
      </c>
      <c r="I20" t="s">
        <v>41</v>
      </c>
      <c r="J20" t="s">
        <v>79</v>
      </c>
      <c r="K20" t="s">
        <v>80</v>
      </c>
      <c r="L20" t="s">
        <v>44</v>
      </c>
      <c r="M20" s="3">
        <v>2</v>
      </c>
      <c r="N20" s="3">
        <v>1299</v>
      </c>
      <c r="O20" s="4">
        <v>0.15</v>
      </c>
      <c r="P20" s="3">
        <v>2598</v>
      </c>
      <c r="Q20" s="3">
        <v>2208.3000000000002</v>
      </c>
      <c r="R20" s="3">
        <v>650</v>
      </c>
      <c r="S20" s="3">
        <v>100</v>
      </c>
      <c r="T20" t="s">
        <v>81</v>
      </c>
      <c r="U20" t="s">
        <v>11</v>
      </c>
      <c r="V20" t="s">
        <v>12</v>
      </c>
      <c r="W20" t="s">
        <v>194</v>
      </c>
      <c r="X20" t="s">
        <v>55</v>
      </c>
      <c r="Y20" t="s">
        <v>193</v>
      </c>
    </row>
    <row r="21" spans="1:25" x14ac:dyDescent="0.3">
      <c r="A21" t="s">
        <v>116</v>
      </c>
      <c r="B21" s="1">
        <v>46177</v>
      </c>
      <c r="C21" s="2">
        <v>0.46016203703703706</v>
      </c>
      <c r="D21" t="s">
        <v>117</v>
      </c>
      <c r="E21" t="s">
        <v>118</v>
      </c>
      <c r="F21" t="s">
        <v>3</v>
      </c>
      <c r="G21" t="s">
        <v>30</v>
      </c>
      <c r="H21" t="s">
        <v>119</v>
      </c>
      <c r="I21" t="s">
        <v>6</v>
      </c>
      <c r="J21" t="s">
        <v>74</v>
      </c>
      <c r="K21" t="s">
        <v>75</v>
      </c>
      <c r="L21" t="s">
        <v>34</v>
      </c>
      <c r="M21" s="3">
        <v>4</v>
      </c>
      <c r="N21" s="3">
        <v>349</v>
      </c>
      <c r="O21" s="4">
        <v>0</v>
      </c>
      <c r="P21" s="3">
        <v>1396</v>
      </c>
      <c r="Q21" s="3">
        <v>1396</v>
      </c>
      <c r="R21" s="3">
        <v>140</v>
      </c>
      <c r="S21" s="3">
        <v>75</v>
      </c>
      <c r="T21" t="s">
        <v>35</v>
      </c>
      <c r="U21" t="s">
        <v>11</v>
      </c>
      <c r="V21" t="s">
        <v>12</v>
      </c>
      <c r="W21" t="s">
        <v>194</v>
      </c>
      <c r="X21" t="s">
        <v>45</v>
      </c>
      <c r="Y21" t="s">
        <v>193</v>
      </c>
    </row>
    <row r="22" spans="1:25" x14ac:dyDescent="0.3">
      <c r="A22" t="s">
        <v>133</v>
      </c>
      <c r="B22" s="1">
        <v>46178</v>
      </c>
      <c r="C22" s="2">
        <v>0.38160879629629629</v>
      </c>
      <c r="D22" t="s">
        <v>134</v>
      </c>
      <c r="E22" t="s">
        <v>135</v>
      </c>
      <c r="F22" t="s">
        <v>3</v>
      </c>
      <c r="G22" t="s">
        <v>39</v>
      </c>
      <c r="H22" t="s">
        <v>136</v>
      </c>
      <c r="I22" t="s">
        <v>6</v>
      </c>
      <c r="J22" t="s">
        <v>60</v>
      </c>
      <c r="K22" t="s">
        <v>61</v>
      </c>
      <c r="L22" t="s">
        <v>9</v>
      </c>
      <c r="M22" s="3">
        <v>3</v>
      </c>
      <c r="N22" s="3">
        <v>299</v>
      </c>
      <c r="O22" s="4">
        <v>0</v>
      </c>
      <c r="P22" s="3">
        <v>897</v>
      </c>
      <c r="Q22" s="3">
        <v>897</v>
      </c>
      <c r="R22" s="3">
        <v>120</v>
      </c>
      <c r="S22" s="3">
        <v>61.42</v>
      </c>
      <c r="T22" t="s">
        <v>10</v>
      </c>
      <c r="U22" t="s">
        <v>11</v>
      </c>
      <c r="V22" t="s">
        <v>12</v>
      </c>
      <c r="W22" t="s">
        <v>194</v>
      </c>
      <c r="X22" t="s">
        <v>13</v>
      </c>
      <c r="Y22" t="s">
        <v>193</v>
      </c>
    </row>
    <row r="23" spans="1:25" x14ac:dyDescent="0.3">
      <c r="A23" t="s">
        <v>148</v>
      </c>
      <c r="B23" s="1">
        <v>46178</v>
      </c>
      <c r="C23" s="2">
        <v>0.640162037037037</v>
      </c>
      <c r="D23" t="s">
        <v>149</v>
      </c>
      <c r="E23" t="s">
        <v>150</v>
      </c>
      <c r="F23" t="s">
        <v>3</v>
      </c>
      <c r="G23" t="s">
        <v>18</v>
      </c>
      <c r="H23" t="s">
        <v>73</v>
      </c>
      <c r="I23" t="s">
        <v>6</v>
      </c>
      <c r="J23" t="s">
        <v>114</v>
      </c>
      <c r="K23" t="s">
        <v>115</v>
      </c>
      <c r="L23" t="s">
        <v>9</v>
      </c>
      <c r="M23" s="3">
        <v>2</v>
      </c>
      <c r="N23" s="3">
        <v>2199</v>
      </c>
      <c r="O23" s="4">
        <v>0.12</v>
      </c>
      <c r="P23" s="3">
        <v>4398</v>
      </c>
      <c r="Q23" s="3">
        <v>3870.24</v>
      </c>
      <c r="R23" s="3">
        <v>1400</v>
      </c>
      <c r="S23" s="3">
        <v>80</v>
      </c>
      <c r="T23" t="s">
        <v>10</v>
      </c>
      <c r="U23" t="s">
        <v>11</v>
      </c>
      <c r="V23" t="s">
        <v>12</v>
      </c>
      <c r="W23" t="s">
        <v>194</v>
      </c>
      <c r="X23" t="s">
        <v>13</v>
      </c>
      <c r="Y23" t="s">
        <v>193</v>
      </c>
    </row>
    <row r="24" spans="1:25" x14ac:dyDescent="0.3">
      <c r="A24" t="s">
        <v>133</v>
      </c>
      <c r="B24" s="1">
        <v>46178</v>
      </c>
      <c r="C24" s="2">
        <v>0.38160879629629629</v>
      </c>
      <c r="D24" t="s">
        <v>134</v>
      </c>
      <c r="E24" t="s">
        <v>135</v>
      </c>
      <c r="F24" t="s">
        <v>3</v>
      </c>
      <c r="G24" t="s">
        <v>39</v>
      </c>
      <c r="H24" t="s">
        <v>136</v>
      </c>
      <c r="I24" t="s">
        <v>191</v>
      </c>
      <c r="J24" t="s">
        <v>60</v>
      </c>
      <c r="K24" t="s">
        <v>61</v>
      </c>
      <c r="L24" t="s">
        <v>9</v>
      </c>
      <c r="M24" s="3">
        <v>3</v>
      </c>
      <c r="N24" s="3">
        <v>299</v>
      </c>
      <c r="O24" s="4">
        <v>0</v>
      </c>
      <c r="P24" s="3">
        <v>897</v>
      </c>
      <c r="Q24" s="3">
        <v>897</v>
      </c>
      <c r="R24" s="3">
        <v>120</v>
      </c>
      <c r="S24" s="3">
        <v>65</v>
      </c>
      <c r="T24" t="s">
        <v>10</v>
      </c>
      <c r="U24" t="s">
        <v>11</v>
      </c>
      <c r="V24" t="s">
        <v>12</v>
      </c>
      <c r="W24" t="s">
        <v>194</v>
      </c>
      <c r="X24" t="s">
        <v>13</v>
      </c>
      <c r="Y24" t="s">
        <v>193</v>
      </c>
    </row>
    <row r="25" spans="1:25" x14ac:dyDescent="0.3">
      <c r="A25" t="s">
        <v>137</v>
      </c>
      <c r="B25" s="1">
        <v>46178</v>
      </c>
      <c r="C25" s="2">
        <v>0.44937500000000002</v>
      </c>
      <c r="D25" t="s">
        <v>138</v>
      </c>
      <c r="E25" t="s">
        <v>139</v>
      </c>
      <c r="F25" t="s">
        <v>49</v>
      </c>
      <c r="G25" t="s">
        <v>18</v>
      </c>
      <c r="H25" t="s">
        <v>140</v>
      </c>
      <c r="I25" t="s">
        <v>20</v>
      </c>
      <c r="J25" t="s">
        <v>51</v>
      </c>
      <c r="K25" t="s">
        <v>52</v>
      </c>
      <c r="L25" t="s">
        <v>53</v>
      </c>
      <c r="M25" s="3">
        <v>15</v>
      </c>
      <c r="N25" s="3">
        <v>129</v>
      </c>
      <c r="O25" s="4">
        <v>0.08</v>
      </c>
      <c r="P25" s="3">
        <v>1935</v>
      </c>
      <c r="Q25" s="3">
        <v>1780.2</v>
      </c>
      <c r="R25" s="3">
        <v>70</v>
      </c>
      <c r="S25" s="3">
        <v>0</v>
      </c>
      <c r="T25" t="s">
        <v>54</v>
      </c>
      <c r="U25" t="s">
        <v>11</v>
      </c>
      <c r="V25" t="s">
        <v>12</v>
      </c>
      <c r="W25" t="s">
        <v>194</v>
      </c>
      <c r="X25" t="s">
        <v>55</v>
      </c>
      <c r="Y25" t="s">
        <v>141</v>
      </c>
    </row>
    <row r="26" spans="1:25" x14ac:dyDescent="0.3">
      <c r="A26" t="s">
        <v>142</v>
      </c>
      <c r="B26" s="1">
        <v>46178</v>
      </c>
      <c r="C26" s="2">
        <v>0.51162037037037034</v>
      </c>
      <c r="D26" t="s">
        <v>143</v>
      </c>
      <c r="E26" t="s">
        <v>144</v>
      </c>
      <c r="F26" t="s">
        <v>3</v>
      </c>
      <c r="G26" t="s">
        <v>30</v>
      </c>
      <c r="H26" t="s">
        <v>100</v>
      </c>
      <c r="I26" t="s">
        <v>6</v>
      </c>
      <c r="J26" t="s">
        <v>101</v>
      </c>
      <c r="K26" t="s">
        <v>102</v>
      </c>
      <c r="L26" t="s">
        <v>34</v>
      </c>
      <c r="M26" s="3">
        <v>2</v>
      </c>
      <c r="N26" s="3">
        <v>1899</v>
      </c>
      <c r="O26" s="4">
        <v>0.1</v>
      </c>
      <c r="P26" s="3">
        <v>3798</v>
      </c>
      <c r="Q26" s="3">
        <v>3418.2</v>
      </c>
      <c r="R26" s="3">
        <v>980</v>
      </c>
      <c r="S26" s="3">
        <v>90</v>
      </c>
      <c r="T26" t="s">
        <v>24</v>
      </c>
      <c r="U26" t="s">
        <v>11</v>
      </c>
      <c r="V26" t="s">
        <v>12</v>
      </c>
      <c r="W26" t="s">
        <v>194</v>
      </c>
      <c r="X26" t="s">
        <v>45</v>
      </c>
      <c r="Y26" t="s">
        <v>193</v>
      </c>
    </row>
    <row r="27" spans="1:25" x14ac:dyDescent="0.3">
      <c r="A27" t="s">
        <v>145</v>
      </c>
      <c r="B27" s="1">
        <v>46178</v>
      </c>
      <c r="C27" s="2">
        <v>0.5821412037037037</v>
      </c>
      <c r="D27" t="s">
        <v>146</v>
      </c>
      <c r="E27" t="s">
        <v>147</v>
      </c>
      <c r="F27" t="s">
        <v>3</v>
      </c>
      <c r="G27" t="s">
        <v>4</v>
      </c>
      <c r="H27" t="s">
        <v>5</v>
      </c>
      <c r="I27" t="s">
        <v>41</v>
      </c>
      <c r="J27" t="s">
        <v>42</v>
      </c>
      <c r="K27" t="s">
        <v>43</v>
      </c>
      <c r="L27" t="s">
        <v>44</v>
      </c>
      <c r="M27" s="3">
        <v>1</v>
      </c>
      <c r="N27" s="3">
        <v>3499</v>
      </c>
      <c r="O27" s="4">
        <v>0.05</v>
      </c>
      <c r="P27" s="3">
        <v>3499</v>
      </c>
      <c r="Q27" s="3">
        <v>3324.05</v>
      </c>
      <c r="R27" s="3">
        <v>2200</v>
      </c>
      <c r="S27" s="3">
        <v>120</v>
      </c>
      <c r="T27" t="s">
        <v>24</v>
      </c>
      <c r="U27" t="s">
        <v>11</v>
      </c>
      <c r="V27" t="s">
        <v>12</v>
      </c>
      <c r="W27" t="s">
        <v>194</v>
      </c>
      <c r="X27" t="s">
        <v>55</v>
      </c>
      <c r="Y27" t="s">
        <v>193</v>
      </c>
    </row>
    <row r="28" spans="1:25" x14ac:dyDescent="0.3">
      <c r="A28" t="s">
        <v>151</v>
      </c>
      <c r="B28" s="1">
        <v>46179</v>
      </c>
      <c r="C28" s="2">
        <v>0.36900462962962965</v>
      </c>
      <c r="D28" t="s">
        <v>152</v>
      </c>
      <c r="E28" t="s">
        <v>153</v>
      </c>
      <c r="F28" t="s">
        <v>3</v>
      </c>
      <c r="G28" t="s">
        <v>4</v>
      </c>
      <c r="H28" t="s">
        <v>5</v>
      </c>
      <c r="I28" t="s">
        <v>6</v>
      </c>
      <c r="J28" t="s">
        <v>7</v>
      </c>
      <c r="K28" t="s">
        <v>8</v>
      </c>
      <c r="L28" t="s">
        <v>9</v>
      </c>
      <c r="M28" s="3">
        <v>3</v>
      </c>
      <c r="N28" s="3">
        <v>799</v>
      </c>
      <c r="O28" s="4">
        <v>0.05</v>
      </c>
      <c r="P28" s="3">
        <v>2397</v>
      </c>
      <c r="Q28" s="3">
        <v>2277.15</v>
      </c>
      <c r="R28" s="3">
        <v>520</v>
      </c>
      <c r="S28" s="3">
        <v>70</v>
      </c>
      <c r="T28" t="s">
        <v>10</v>
      </c>
      <c r="U28" t="s">
        <v>11</v>
      </c>
      <c r="V28" t="s">
        <v>12</v>
      </c>
      <c r="W28" t="s">
        <v>194</v>
      </c>
      <c r="X28" t="s">
        <v>13</v>
      </c>
      <c r="Y28" t="s">
        <v>193</v>
      </c>
    </row>
    <row r="29" spans="1:25" x14ac:dyDescent="0.3">
      <c r="A29" t="s">
        <v>154</v>
      </c>
      <c r="B29" s="1">
        <v>46179</v>
      </c>
      <c r="C29" s="2">
        <v>0.44005787037037036</v>
      </c>
      <c r="D29" t="s">
        <v>155</v>
      </c>
      <c r="E29" t="s">
        <v>156</v>
      </c>
      <c r="F29" t="s">
        <v>17</v>
      </c>
      <c r="G29" t="s">
        <v>39</v>
      </c>
      <c r="H29" t="s">
        <v>157</v>
      </c>
      <c r="I29" t="s">
        <v>20</v>
      </c>
      <c r="J29" t="s">
        <v>21</v>
      </c>
      <c r="K29" t="s">
        <v>22</v>
      </c>
      <c r="L29" t="s">
        <v>23</v>
      </c>
      <c r="M29" s="3">
        <v>1</v>
      </c>
      <c r="N29" s="3">
        <v>6499</v>
      </c>
      <c r="O29" s="4">
        <v>0</v>
      </c>
      <c r="P29" s="3">
        <v>6499</v>
      </c>
      <c r="Q29" s="3">
        <v>6499</v>
      </c>
      <c r="R29" s="3">
        <v>4200</v>
      </c>
      <c r="S29" s="3">
        <v>0</v>
      </c>
      <c r="T29" t="s">
        <v>68</v>
      </c>
      <c r="U29" t="s">
        <v>11</v>
      </c>
      <c r="V29" t="s">
        <v>12</v>
      </c>
      <c r="W29" t="s">
        <v>194</v>
      </c>
      <c r="X29" t="s">
        <v>25</v>
      </c>
      <c r="Y29" t="s">
        <v>158</v>
      </c>
    </row>
    <row r="30" spans="1:25" x14ac:dyDescent="0.3">
      <c r="A30" t="s">
        <v>163</v>
      </c>
      <c r="B30" s="1">
        <v>46179</v>
      </c>
      <c r="C30" s="2">
        <v>0.56974537037037032</v>
      </c>
      <c r="D30" t="s">
        <v>164</v>
      </c>
      <c r="E30" t="s">
        <v>165</v>
      </c>
      <c r="F30" t="s">
        <v>3</v>
      </c>
      <c r="G30" t="s">
        <v>39</v>
      </c>
      <c r="H30" t="s">
        <v>40</v>
      </c>
      <c r="I30" t="s">
        <v>41</v>
      </c>
      <c r="J30" t="s">
        <v>79</v>
      </c>
      <c r="K30" t="s">
        <v>80</v>
      </c>
      <c r="L30" t="s">
        <v>44</v>
      </c>
      <c r="M30" s="3">
        <v>1</v>
      </c>
      <c r="N30" s="3">
        <v>1299</v>
      </c>
      <c r="O30" s="4">
        <v>0</v>
      </c>
      <c r="P30" s="3">
        <v>1299</v>
      </c>
      <c r="Q30" s="3">
        <v>1299</v>
      </c>
      <c r="R30" s="3">
        <v>650</v>
      </c>
      <c r="S30" s="3">
        <v>90</v>
      </c>
      <c r="T30" t="s">
        <v>81</v>
      </c>
      <c r="U30" t="s">
        <v>11</v>
      </c>
      <c r="V30" t="s">
        <v>12</v>
      </c>
      <c r="W30" t="s">
        <v>194</v>
      </c>
      <c r="X30" t="s">
        <v>55</v>
      </c>
      <c r="Y30" t="s">
        <v>193</v>
      </c>
    </row>
    <row r="31" spans="1:25" x14ac:dyDescent="0.3">
      <c r="A31" t="s">
        <v>166</v>
      </c>
      <c r="B31" s="1">
        <v>46179</v>
      </c>
      <c r="C31" s="2">
        <v>0.67565972222222226</v>
      </c>
      <c r="D31" t="s">
        <v>167</v>
      </c>
      <c r="E31" t="s">
        <v>168</v>
      </c>
      <c r="F31" t="s">
        <v>49</v>
      </c>
      <c r="G31" t="s">
        <v>4</v>
      </c>
      <c r="H31" t="s">
        <v>169</v>
      </c>
      <c r="I31" t="s">
        <v>20</v>
      </c>
      <c r="J31" t="s">
        <v>87</v>
      </c>
      <c r="K31" t="s">
        <v>88</v>
      </c>
      <c r="L31" t="s">
        <v>53</v>
      </c>
      <c r="M31" s="3">
        <v>20</v>
      </c>
      <c r="N31" s="3">
        <v>199</v>
      </c>
      <c r="O31" s="4">
        <v>0.1</v>
      </c>
      <c r="P31" s="3">
        <v>3980</v>
      </c>
      <c r="Q31" s="3">
        <v>3582</v>
      </c>
      <c r="R31" s="3">
        <v>80</v>
      </c>
      <c r="S31" s="3">
        <v>0</v>
      </c>
      <c r="T31" t="s">
        <v>54</v>
      </c>
      <c r="U31" t="s">
        <v>11</v>
      </c>
      <c r="V31" t="s">
        <v>12</v>
      </c>
      <c r="W31" t="s">
        <v>194</v>
      </c>
      <c r="X31" t="s">
        <v>55</v>
      </c>
      <c r="Y31" t="s">
        <v>170</v>
      </c>
    </row>
    <row r="32" spans="1:25" x14ac:dyDescent="0.3">
      <c r="A32" t="s">
        <v>159</v>
      </c>
      <c r="B32" s="1">
        <v>46179</v>
      </c>
      <c r="C32" s="2">
        <v>0.49939814814814815</v>
      </c>
      <c r="D32" t="s">
        <v>160</v>
      </c>
      <c r="E32" t="s">
        <v>161</v>
      </c>
      <c r="F32" t="s">
        <v>3</v>
      </c>
      <c r="G32" t="s">
        <v>18</v>
      </c>
      <c r="H32" t="s">
        <v>162</v>
      </c>
      <c r="I32" t="s">
        <v>6</v>
      </c>
      <c r="J32" t="s">
        <v>32</v>
      </c>
      <c r="K32" t="s">
        <v>33</v>
      </c>
      <c r="L32" t="s">
        <v>34</v>
      </c>
      <c r="M32" s="3">
        <v>6</v>
      </c>
      <c r="N32" s="3">
        <v>499</v>
      </c>
      <c r="O32" s="4">
        <v>0.1</v>
      </c>
      <c r="P32" s="3">
        <v>2994</v>
      </c>
      <c r="Q32" s="3">
        <v>2694.6</v>
      </c>
      <c r="R32" s="3">
        <v>180</v>
      </c>
      <c r="S32" s="3">
        <v>95</v>
      </c>
      <c r="T32" t="s">
        <v>35</v>
      </c>
      <c r="U32" t="s">
        <v>11</v>
      </c>
      <c r="V32" t="s">
        <v>12</v>
      </c>
      <c r="W32" t="s">
        <v>194</v>
      </c>
      <c r="X32" t="s">
        <v>45</v>
      </c>
      <c r="Y32" t="s">
        <v>193</v>
      </c>
    </row>
    <row r="33" spans="1:25" x14ac:dyDescent="0.3">
      <c r="A33" t="s">
        <v>171</v>
      </c>
      <c r="B33" s="1">
        <v>46180</v>
      </c>
      <c r="C33" s="2">
        <v>0.38545138888888891</v>
      </c>
      <c r="D33" t="s">
        <v>172</v>
      </c>
      <c r="E33" t="s">
        <v>173</v>
      </c>
      <c r="F33" t="s">
        <v>3</v>
      </c>
      <c r="G33" t="s">
        <v>18</v>
      </c>
      <c r="H33" t="s">
        <v>19</v>
      </c>
      <c r="I33" t="s">
        <v>6</v>
      </c>
      <c r="J33" t="s">
        <v>60</v>
      </c>
      <c r="K33" t="s">
        <v>61</v>
      </c>
      <c r="L33" t="s">
        <v>9</v>
      </c>
      <c r="M33" s="3">
        <v>2</v>
      </c>
      <c r="N33" s="3">
        <v>299</v>
      </c>
      <c r="O33" s="4">
        <v>0.05</v>
      </c>
      <c r="P33" s="3">
        <v>598</v>
      </c>
      <c r="Q33" s="3">
        <v>568.1</v>
      </c>
      <c r="R33" s="3">
        <v>120</v>
      </c>
      <c r="S33" s="3">
        <v>60</v>
      </c>
      <c r="T33" t="s">
        <v>10</v>
      </c>
      <c r="U33" t="s">
        <v>11</v>
      </c>
      <c r="V33" t="s">
        <v>12</v>
      </c>
      <c r="W33" t="s">
        <v>194</v>
      </c>
      <c r="X33" t="s">
        <v>13</v>
      </c>
      <c r="Y33" t="s">
        <v>193</v>
      </c>
    </row>
    <row r="34" spans="1:25" x14ac:dyDescent="0.3">
      <c r="A34" t="s">
        <v>183</v>
      </c>
      <c r="B34" s="1">
        <v>46180</v>
      </c>
      <c r="C34" s="2">
        <v>0.6542824074074074</v>
      </c>
      <c r="D34" t="s">
        <v>184</v>
      </c>
      <c r="E34" t="s">
        <v>185</v>
      </c>
      <c r="F34" t="s">
        <v>3</v>
      </c>
      <c r="G34" t="s">
        <v>18</v>
      </c>
      <c r="H34" t="s">
        <v>73</v>
      </c>
      <c r="I34" t="s">
        <v>6</v>
      </c>
      <c r="J34" t="s">
        <v>114</v>
      </c>
      <c r="K34" t="s">
        <v>115</v>
      </c>
      <c r="L34" t="s">
        <v>9</v>
      </c>
      <c r="M34" s="3">
        <v>1</v>
      </c>
      <c r="N34" s="3">
        <v>2199</v>
      </c>
      <c r="O34" s="4">
        <v>0</v>
      </c>
      <c r="P34" s="3">
        <v>2199</v>
      </c>
      <c r="Q34" s="3">
        <v>2199</v>
      </c>
      <c r="R34" s="3">
        <v>1400</v>
      </c>
      <c r="S34" s="3">
        <v>70</v>
      </c>
      <c r="T34" t="s">
        <v>10</v>
      </c>
      <c r="U34" t="s">
        <v>186</v>
      </c>
      <c r="V34" t="s">
        <v>12</v>
      </c>
      <c r="W34" t="s">
        <v>194</v>
      </c>
      <c r="X34" t="s">
        <v>13</v>
      </c>
      <c r="Y34" t="s">
        <v>193</v>
      </c>
    </row>
    <row r="35" spans="1:25" x14ac:dyDescent="0.3">
      <c r="A35" t="s">
        <v>187</v>
      </c>
      <c r="B35" s="1">
        <v>46180</v>
      </c>
      <c r="C35" s="2">
        <v>0.71451388888888889</v>
      </c>
      <c r="D35" t="s">
        <v>188</v>
      </c>
      <c r="E35" t="s">
        <v>189</v>
      </c>
      <c r="F35" t="s">
        <v>49</v>
      </c>
      <c r="G35" t="s">
        <v>4</v>
      </c>
      <c r="H35" t="s">
        <v>5</v>
      </c>
      <c r="I35" t="s">
        <v>20</v>
      </c>
      <c r="J35" t="s">
        <v>51</v>
      </c>
      <c r="K35" t="s">
        <v>52</v>
      </c>
      <c r="L35" t="s">
        <v>53</v>
      </c>
      <c r="M35" s="3">
        <v>30</v>
      </c>
      <c r="N35" s="3">
        <v>129</v>
      </c>
      <c r="O35" s="4">
        <v>0.12</v>
      </c>
      <c r="P35" s="3">
        <v>3870</v>
      </c>
      <c r="Q35" s="3">
        <v>3405.6</v>
      </c>
      <c r="R35" s="3">
        <v>70</v>
      </c>
      <c r="S35" s="3">
        <v>0</v>
      </c>
      <c r="T35" t="s">
        <v>54</v>
      </c>
      <c r="U35" t="s">
        <v>11</v>
      </c>
      <c r="V35" t="s">
        <v>12</v>
      </c>
      <c r="W35" t="s">
        <v>194</v>
      </c>
      <c r="X35" t="s">
        <v>55</v>
      </c>
      <c r="Y35" t="s">
        <v>190</v>
      </c>
    </row>
    <row r="36" spans="1:25" x14ac:dyDescent="0.3">
      <c r="A36" t="s">
        <v>174</v>
      </c>
      <c r="B36" s="1">
        <v>46180</v>
      </c>
      <c r="C36" s="2">
        <v>0.43667824074074074</v>
      </c>
      <c r="D36" t="s">
        <v>175</v>
      </c>
      <c r="E36" t="s">
        <v>176</v>
      </c>
      <c r="F36" t="s">
        <v>17</v>
      </c>
      <c r="G36" t="s">
        <v>4</v>
      </c>
      <c r="H36" t="s">
        <v>131</v>
      </c>
      <c r="I36" t="s">
        <v>20</v>
      </c>
      <c r="J36" t="s">
        <v>66</v>
      </c>
      <c r="K36" t="s">
        <v>67</v>
      </c>
      <c r="L36" t="s">
        <v>23</v>
      </c>
      <c r="M36" s="3">
        <v>2</v>
      </c>
      <c r="N36" s="3">
        <v>15999</v>
      </c>
      <c r="O36" s="4">
        <v>0.1</v>
      </c>
      <c r="P36" s="3">
        <v>31998</v>
      </c>
      <c r="Q36" s="3">
        <v>28798.2</v>
      </c>
      <c r="R36" s="3">
        <v>10500</v>
      </c>
      <c r="S36" s="3">
        <v>0</v>
      </c>
      <c r="T36" t="s">
        <v>68</v>
      </c>
      <c r="U36" t="s">
        <v>11</v>
      </c>
      <c r="V36" t="s">
        <v>12</v>
      </c>
      <c r="W36" t="s">
        <v>194</v>
      </c>
      <c r="X36" t="s">
        <v>25</v>
      </c>
      <c r="Y36" t="s">
        <v>132</v>
      </c>
    </row>
    <row r="37" spans="1:25" x14ac:dyDescent="0.3">
      <c r="A37" t="s">
        <v>177</v>
      </c>
      <c r="B37" s="1">
        <v>46180</v>
      </c>
      <c r="C37" s="2">
        <v>0.49041666666666667</v>
      </c>
      <c r="D37" t="s">
        <v>178</v>
      </c>
      <c r="E37" t="s">
        <v>179</v>
      </c>
      <c r="F37" t="s">
        <v>3</v>
      </c>
      <c r="G37" t="s">
        <v>30</v>
      </c>
      <c r="H37" t="s">
        <v>100</v>
      </c>
      <c r="I37" t="s">
        <v>6</v>
      </c>
      <c r="J37" t="s">
        <v>74</v>
      </c>
      <c r="K37" t="s">
        <v>75</v>
      </c>
      <c r="L37" t="s">
        <v>34</v>
      </c>
      <c r="M37" s="3">
        <v>1</v>
      </c>
      <c r="N37" s="3">
        <v>349</v>
      </c>
      <c r="O37" s="4">
        <v>0</v>
      </c>
      <c r="P37" s="3">
        <v>349</v>
      </c>
      <c r="Q37" s="3">
        <v>349</v>
      </c>
      <c r="R37" s="3">
        <v>140</v>
      </c>
      <c r="S37" s="3">
        <v>60</v>
      </c>
      <c r="T37" t="s">
        <v>35</v>
      </c>
      <c r="U37" t="s">
        <v>11</v>
      </c>
      <c r="V37" t="s">
        <v>12</v>
      </c>
      <c r="W37" t="s">
        <v>194</v>
      </c>
      <c r="X37" t="s">
        <v>45</v>
      </c>
      <c r="Y37" t="s">
        <v>193</v>
      </c>
    </row>
    <row r="38" spans="1:25" x14ac:dyDescent="0.3">
      <c r="A38" t="s">
        <v>180</v>
      </c>
      <c r="B38" s="1">
        <v>46180</v>
      </c>
      <c r="C38" s="2">
        <v>0.5440625</v>
      </c>
      <c r="D38" t="s">
        <v>181</v>
      </c>
      <c r="E38" t="s">
        <v>182</v>
      </c>
      <c r="F38" t="s">
        <v>3</v>
      </c>
      <c r="G38" t="s">
        <v>4</v>
      </c>
      <c r="H38" t="s">
        <v>5</v>
      </c>
      <c r="I38" t="s">
        <v>41</v>
      </c>
      <c r="J38" t="s">
        <v>42</v>
      </c>
      <c r="K38" t="s">
        <v>43</v>
      </c>
      <c r="L38" t="s">
        <v>44</v>
      </c>
      <c r="M38" s="3">
        <v>1</v>
      </c>
      <c r="N38" s="3">
        <v>3499</v>
      </c>
      <c r="O38" s="4">
        <v>0.18</v>
      </c>
      <c r="P38" s="3">
        <v>3499</v>
      </c>
      <c r="Q38" s="3">
        <v>2869.18</v>
      </c>
      <c r="R38" s="3">
        <v>2200</v>
      </c>
      <c r="S38" s="3">
        <v>120</v>
      </c>
      <c r="T38" t="s">
        <v>24</v>
      </c>
      <c r="U38" t="s">
        <v>11</v>
      </c>
      <c r="V38" t="s">
        <v>82</v>
      </c>
      <c r="W38" t="s">
        <v>196</v>
      </c>
      <c r="X38" t="s">
        <v>55</v>
      </c>
      <c r="Y38" t="s">
        <v>193</v>
      </c>
    </row>
  </sheetData>
  <autoFilter ref="A1:Y38" xr:uid="{5BDDA21C-6ED0-421C-B728-15ACD401887D}">
    <sortState xmlns:xlrd2="http://schemas.microsoft.com/office/spreadsheetml/2017/richdata2" ref="A2:Y38">
      <sortCondition ref="B1:B3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Weekly Sales &amp; Order</vt:lpstr>
      <vt:lpstr>Consumer Types</vt:lpstr>
      <vt:lpstr>Sales Region &amp; City</vt:lpstr>
      <vt:lpstr>Category Sales</vt:lpstr>
      <vt:lpstr>Payment Methods</vt:lpstr>
      <vt:lpstr>Order Status</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Almasud</dc:creator>
  <cp:lastModifiedBy>Md Almasud</cp:lastModifiedBy>
  <dcterms:created xsi:type="dcterms:W3CDTF">2026-06-09T04:33:06Z</dcterms:created>
  <dcterms:modified xsi:type="dcterms:W3CDTF">2026-10-01T08:43:04Z</dcterms:modified>
</cp:coreProperties>
</file>